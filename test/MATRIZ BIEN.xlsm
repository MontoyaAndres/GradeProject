
<file path=[Content_Types].xml><?xml version="1.0" encoding="utf-8"?>
<Types xmlns="http://schemas.openxmlformats.org/package/2006/content-types">
  <Override PartName="/_rels/.rels" ContentType="application/vnd.openxmlformats-package.relationships+xml"/>
  <Override PartName="/docProps/custom.xml" ContentType="application/vnd.openxmlformats-officedocument.custom-properties+xml"/>
  <Override PartName="/docProps/app.xml" ContentType="application/vnd.openxmlformats-officedocument.extended-properties+xml"/>
  <Override PartName="/docProps/core.xml" ContentType="application/vnd.openxmlformats-package.core-properties+xml"/>
  <Override PartName="/xl/_rels/workbook.xml.rels" ContentType="application/vnd.openxmlformats-package.relationship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workbook.xml" ContentType="application/vnd.ms-excel.sheet.macroEnabled.main+xml"/>
  <Override PartName="/xl/styles.xml" ContentType="application/vnd.openxmlformats-officedocument.spreadsheetml.styles+xml"/>
  <Override PartName="/xl/vbaProject.bin" ContentType="application/vnd.ms-office.vbaProject"/>
  <Override PartName="/xl/worksheets/_rels/sheet1.xml.rels" ContentType="application/vnd.openxmlformats-package.relationship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988" firstSheet="0" activeTab="0"/>
  </bookViews>
  <sheets>
    <sheet name="MATRIZ AUSENTISMO" sheetId="1" state="visible" r:id="rId3"/>
    <sheet name="TABLAS CON CARRERA" sheetId="2" state="visible" r:id="rId4"/>
  </sheets>
  <definedNames>
    <definedName function="false" hidden="true" localSheetId="0" name="_xlnm._FilterDatabase" vbProcedure="false">'MATRIZ AUSENTISMO'!$A$1:$AK$190</definedName>
    <definedName function="false" hidden="false" localSheetId="0" name="_xlnm._FilterDatabase" vbProcedure="false">'MATRIZ AUSENTISMO'!$A$1:$AK$190</definedName>
    <definedName function="false" hidden="false" localSheetId="0" name="_xlnm._FilterDatabase_0" vbProcedure="false">'MATRIZ AUSENTISMO'!$A$1:$AK$190</definedName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<sst xmlns="http://schemas.openxmlformats.org/spreadsheetml/2006/main" count="637" uniqueCount="174">
  <si>
    <t xml:space="preserve">Código Banner</t>
  </si>
  <si>
    <t xml:space="preserve">Nombres</t>
  </si>
  <si>
    <t xml:space="preserve">Apellidos</t>
  </si>
  <si>
    <t xml:space="preserve">Género</t>
  </si>
  <si>
    <t xml:space="preserve">Edad</t>
  </si>
  <si>
    <t xml:space="preserve">Número Identificación</t>
  </si>
  <si>
    <t xml:space="preserve">Tipo Doc Identidad</t>
  </si>
  <si>
    <t xml:space="preserve">Nivel Formación</t>
  </si>
  <si>
    <t xml:space="preserve">Código Programa</t>
  </si>
  <si>
    <t xml:space="preserve">Descripción Programa</t>
  </si>
  <si>
    <t xml:space="preserve">Jornada</t>
  </si>
  <si>
    <t xml:space="preserve">Area Conocimiento</t>
  </si>
  <si>
    <t xml:space="preserve">Nucleo Basico Conocimiento</t>
  </si>
  <si>
    <t xml:space="preserve">Ies</t>
  </si>
  <si>
    <t xml:space="preserve">Snies</t>
  </si>
  <si>
    <t xml:space="preserve">Rectoría</t>
  </si>
  <si>
    <t xml:space="preserve">Código Sede</t>
  </si>
  <si>
    <t xml:space="preserve">Sede</t>
  </si>
  <si>
    <t xml:space="preserve">Centro Regional</t>
  </si>
  <si>
    <t xml:space="preserve">Código periodo académico</t>
  </si>
  <si>
    <t xml:space="preserve">periodo académico Inscripción</t>
  </si>
  <si>
    <t xml:space="preserve">Descripción Metodología</t>
  </si>
  <si>
    <t xml:space="preserve">Tipo Estudiante Agrupado</t>
  </si>
  <si>
    <t xml:space="preserve">Lugar Residencia</t>
  </si>
  <si>
    <t xml:space="preserve">TEL CEL</t>
  </si>
  <si>
    <t xml:space="preserve">FECHA CEL</t>
  </si>
  <si>
    <t xml:space="preserve">TEL RE</t>
  </si>
  <si>
    <t xml:space="preserve">CORREO ESTUDIANTE 1</t>
  </si>
  <si>
    <t xml:space="preserve">CORREO ESTUDIANTE 2</t>
  </si>
  <si>
    <t xml:space="preserve">FECHA CORREO</t>
  </si>
  <si>
    <t xml:space="preserve">DIRECCION</t>
  </si>
  <si>
    <t xml:space="preserve">DEPARTAMENTO</t>
  </si>
  <si>
    <t xml:space="preserve">CIUDAD</t>
  </si>
  <si>
    <t xml:space="preserve">Estado</t>
  </si>
  <si>
    <t xml:space="preserve">COMENTARIO</t>
  </si>
  <si>
    <t xml:space="preserve">SITUACION</t>
  </si>
  <si>
    <t xml:space="preserve">VARIABLE</t>
  </si>
  <si>
    <t xml:space="preserve">502685</t>
  </si>
  <si>
    <t xml:space="preserve">LINA MARIA</t>
  </si>
  <si>
    <t xml:space="preserve">BARBOSA ROMERO</t>
  </si>
  <si>
    <t xml:space="preserve">FEMENINO</t>
  </si>
  <si>
    <t xml:space="preserve">CC-CÉDULA DE CIUDADANIA</t>
  </si>
  <si>
    <t xml:space="preserve">PREGRADO</t>
  </si>
  <si>
    <t xml:space="preserve">ADFU</t>
  </si>
  <si>
    <t xml:space="preserve">ADMINISTRACIÓN FINANCIERA DIST</t>
  </si>
  <si>
    <t xml:space="preserve">DISTANCIA</t>
  </si>
  <si>
    <t xml:space="preserve">ECONOMÍA, ADMINISTRACIÓN, CONTADURÍA Y AFINES</t>
  </si>
  <si>
    <t xml:space="preserve">ADMINISTRACIÓN</t>
  </si>
  <si>
    <t xml:space="preserve">R CUNDINAMARCA</t>
  </si>
  <si>
    <t xml:space="preserve">GIR</t>
  </si>
  <si>
    <t xml:space="preserve">CR GIRARDOT</t>
  </si>
  <si>
    <t xml:space="preserve">GIRARDOT</t>
  </si>
  <si>
    <t xml:space="preserve">DISTANCIA (TRADICIONAL)</t>
  </si>
  <si>
    <t xml:space="preserve">CONTINUO</t>
  </si>
  <si>
    <t xml:space="preserve">3115094699</t>
  </si>
  <si>
    <t xml:space="preserve">2015-06-09</t>
  </si>
  <si>
    <t xml:space="preserve">3138819450</t>
  </si>
  <si>
    <t xml:space="preserve">lbarbosarom@uniminuto.edu.co</t>
  </si>
  <si>
    <t xml:space="preserve">linamaria123@hotmail.com;lbarbosarom@uniminuto.edu.co</t>
  </si>
  <si>
    <t xml:space="preserve">2017-11-24</t>
  </si>
  <si>
    <t xml:space="preserve">VD LA LIBERTAD LIBERTAD</t>
  </si>
  <si>
    <t xml:space="preserve">CUNDINAMARCA</t>
  </si>
  <si>
    <t xml:space="preserve">JERUSALEN</t>
  </si>
  <si>
    <t xml:space="preserve">AUSENTISMO</t>
  </si>
  <si>
    <t xml:space="preserve">Está desarrollando Opción de Grado</t>
  </si>
  <si>
    <t xml:space="preserve">TÉRMINO DE ASIGNATURAS - PENDIENTE GRADO</t>
  </si>
  <si>
    <t xml:space="preserve">NO PERTENECE A LA MATRIZ</t>
  </si>
  <si>
    <t xml:space="preserve">299838</t>
  </si>
  <si>
    <t xml:space="preserve">VICTOR ALFONSO</t>
  </si>
  <si>
    <t xml:space="preserve">BARRAGAN HERNANDEZ</t>
  </si>
  <si>
    <t xml:space="preserve">MASCULINO</t>
  </si>
  <si>
    <t xml:space="preserve">3107787039</t>
  </si>
  <si>
    <t xml:space="preserve">2016-01-15</t>
  </si>
  <si>
    <t xml:space="preserve">0</t>
  </si>
  <si>
    <t xml:space="preserve">vbarraganhe@uniminuto.edu.co</t>
  </si>
  <si>
    <t xml:space="preserve">crisvic_2009@hotmail.com;vbarraganhe@uniminuto.edu.co</t>
  </si>
  <si>
    <t xml:space="preserve">MAN 14 CASA 4 B/ DIAMANTE  DIAMANTE POPULAR</t>
  </si>
  <si>
    <t xml:space="preserve">GIRARDOT (CUN)</t>
  </si>
  <si>
    <t xml:space="preserve">Sin empleo</t>
  </si>
  <si>
    <t xml:space="preserve">PROBLEMAS ECONÓMICOS</t>
  </si>
  <si>
    <t xml:space="preserve">FINANCIERA</t>
  </si>
  <si>
    <t xml:space="preserve">649110</t>
  </si>
  <si>
    <t xml:space="preserve">MARYLIN</t>
  </si>
  <si>
    <t xml:space="preserve">CABRERA CELIS</t>
  </si>
  <si>
    <t xml:space="preserve">PRIMERA VEZ</t>
  </si>
  <si>
    <t xml:space="preserve">3112673628</t>
  </si>
  <si>
    <t xml:space="preserve">2017-08-05</t>
  </si>
  <si>
    <t xml:space="preserve">82879307</t>
  </si>
  <si>
    <t xml:space="preserve">mcabreracel@uniminuto.edu.co</t>
  </si>
  <si>
    <t xml:space="preserve">mcabreracelec@gmail.com;mcabreracel@uniminuto.edu.co</t>
  </si>
  <si>
    <t xml:space="preserve">2017-12-13</t>
  </si>
  <si>
    <t xml:space="preserve">MZ H CS 5 17 ENERO  17 ENERO</t>
  </si>
  <si>
    <t xml:space="preserve">TOLIMA</t>
  </si>
  <si>
    <t xml:space="preserve">MELGAR</t>
  </si>
  <si>
    <t xml:space="preserve">MATRICULADO</t>
  </si>
  <si>
    <t xml:space="preserve">ESTUDIANTE MATRICULADO</t>
  </si>
  <si>
    <t xml:space="preserve">636060</t>
  </si>
  <si>
    <t xml:space="preserve">LEIDY LILIANA</t>
  </si>
  <si>
    <t xml:space="preserve">GARCIA SALAZAR</t>
  </si>
  <si>
    <t xml:space="preserve">3202935413</t>
  </si>
  <si>
    <t xml:space="preserve">2017-05-31</t>
  </si>
  <si>
    <t xml:space="preserve">3173880834</t>
  </si>
  <si>
    <t xml:space="preserve">lgarciasala@uniminuto.edu.co</t>
  </si>
  <si>
    <t xml:space="preserve">leidygarcia.s.10@gmail.com;lgarciasala@uniminuto.edu.co</t>
  </si>
  <si>
    <t xml:space="preserve">MAN B1 CASA 2 VILLA ELIZA VILLA ELIZA</t>
  </si>
  <si>
    <t xml:space="preserve">La modalidad virtual no le permite laborar los sabados sin afectar su horario</t>
  </si>
  <si>
    <t xml:space="preserve">DIFICULTADES CON MODALIDAD VIRTUAL</t>
  </si>
  <si>
    <t xml:space="preserve">ACADÉMICO</t>
  </si>
  <si>
    <t xml:space="preserve">619859</t>
  </si>
  <si>
    <t xml:space="preserve">JUAN DAVID</t>
  </si>
  <si>
    <t xml:space="preserve">ACERO CASTAÑEDA</t>
  </si>
  <si>
    <t xml:space="preserve">MES</t>
  </si>
  <si>
    <t xml:space="preserve">CT LA MESA</t>
  </si>
  <si>
    <t xml:space="preserve">1899-12-30</t>
  </si>
  <si>
    <t xml:space="preserve">3143093104</t>
  </si>
  <si>
    <t xml:space="preserve">jacerocasta@uniminuto.edu.co</t>
  </si>
  <si>
    <t xml:space="preserve">1123@hotmail.com;jacerocasta@uniminuto.edu.co</t>
  </si>
  <si>
    <t xml:space="preserve">LA CUEVA  VD SAN ANTONIO</t>
  </si>
  <si>
    <t xml:space="preserve">APULO</t>
  </si>
  <si>
    <t xml:space="preserve">NO CONTESTA</t>
  </si>
  <si>
    <t xml:space="preserve">NO SE ENCUENTRA INFORMACIÓN DEL ESTUDIANTE</t>
  </si>
  <si>
    <t xml:space="preserve">NO CONTACTO</t>
  </si>
  <si>
    <t xml:space="preserve">ESTA TABLA SIEMPRE DEBE DE IR DE PRIMERAS!!!!</t>
  </si>
  <si>
    <t xml:space="preserve">PROGRAMA</t>
  </si>
  <si>
    <t xml:space="preserve">PERIODO</t>
  </si>
  <si>
    <t xml:space="preserve">DOCENTE CONSEJERO 1</t>
  </si>
  <si>
    <t xml:space="preserve">NOMBRE Y APELLIDO</t>
  </si>
  <si>
    <t xml:space="preserve">DOCENTE CONSEJERO 2</t>
  </si>
  <si>
    <t xml:space="preserve">SEMESTRE A CARGO</t>
  </si>
  <si>
    <t xml:space="preserve">JORNADA</t>
  </si>
  <si>
    <t xml:space="preserve">MODALIDAD</t>
  </si>
  <si>
    <t xml:space="preserve">Numero de Estudiantes Matriculados</t>
  </si>
  <si>
    <t xml:space="preserve">BASE DATOS DESERCIÓN Y AUSENTISMO</t>
  </si>
  <si>
    <t xml:space="preserve">VARIABLES</t>
  </si>
  <si>
    <t xml:space="preserve">SITUACIÓN</t>
  </si>
  <si>
    <t xml:space="preserve">CANTIDAD</t>
  </si>
  <si>
    <t xml:space="preserve">%</t>
  </si>
  <si>
    <t xml:space="preserve">SUMA POR VARIABLE</t>
  </si>
  <si>
    <t xml:space="preserve">ACADEMICA</t>
  </si>
  <si>
    <t xml:space="preserve">CAMBIO DE SEDE</t>
  </si>
  <si>
    <t xml:space="preserve">ASIGNATURAS PENDIENTE</t>
  </si>
  <si>
    <t xml:space="preserve">RETIRO PERDIDA ACADEMICA</t>
  </si>
  <si>
    <t xml:space="preserve">PROBLEMA CON DOCENTE</t>
  </si>
  <si>
    <t xml:space="preserve">FALTA DICIPLINARIA</t>
  </si>
  <si>
    <t xml:space="preserve">CAMBIO DE UNIVERSIDAD</t>
  </si>
  <si>
    <t xml:space="preserve">PÉRDIDA ACADÉMICA</t>
  </si>
  <si>
    <t xml:space="preserve">PROBLEMAS CON EL SERVICION ACADÉMICO</t>
  </si>
  <si>
    <t xml:space="preserve">PROBLEMAS DE TRAMITE O RENTENCIÓN CON LA COOPERATIVA UNIMINUTO</t>
  </si>
  <si>
    <t xml:space="preserve">APLAZO DE SEMESTRE POR RECURSOS ECONÓMICO</t>
  </si>
  <si>
    <t xml:space="preserve">BUZON</t>
  </si>
  <si>
    <t xml:space="preserve">NO PERTENCE A LA MATRIZ</t>
  </si>
  <si>
    <t xml:space="preserve">NO HA ESTUDIADO EN UNIMIMINUTO</t>
  </si>
  <si>
    <t xml:space="preserve">PENDIENTE GRADO</t>
  </si>
  <si>
    <t xml:space="preserve">TERMINO DE ASIGNATURAS - PENDIENTE GRADO </t>
  </si>
  <si>
    <t xml:space="preserve">NO SE REALIZÓ GESTIÓN POR PARTE DEL PROGRAMA</t>
  </si>
  <si>
    <t xml:space="preserve">NO SE REALIZÓ GESTIÓN</t>
  </si>
  <si>
    <t xml:space="preserve">PSICOSOCIAL</t>
  </si>
  <si>
    <t xml:space="preserve">MOTIVOS PERSONALES</t>
  </si>
  <si>
    <t xml:space="preserve">CAMBIO DE CIUDAD</t>
  </si>
  <si>
    <t xml:space="preserve">CAMBIO DE DOMICILIO</t>
  </si>
  <si>
    <t xml:space="preserve">CAMBIO DE PROGRAMA</t>
  </si>
  <si>
    <t xml:space="preserve">LICENCIA DE MAATERNIDAD</t>
  </si>
  <si>
    <t xml:space="preserve">PROBLEMAS DE SALUD</t>
  </si>
  <si>
    <t xml:space="preserve">TOTAL DE ESTUDIANTES</t>
  </si>
  <si>
    <t xml:space="preserve">ASOD</t>
  </si>
  <si>
    <t xml:space="preserve">ADM</t>
  </si>
  <si>
    <t xml:space="preserve">COPD</t>
  </si>
  <si>
    <t xml:space="preserve">CSOC</t>
  </si>
  <si>
    <t xml:space="preserve">ICIV</t>
  </si>
  <si>
    <t xml:space="preserve">ISUM</t>
  </si>
  <si>
    <t xml:space="preserve">LPID</t>
  </si>
  <si>
    <t xml:space="preserve">PSID</t>
  </si>
  <si>
    <t xml:space="preserve">TINF</t>
  </si>
  <si>
    <t xml:space="preserve">TRSO</t>
  </si>
</sst>
</file>

<file path=xl/styles.xml><?xml version="1.0" encoding="utf-8"?>
<styleSheet xmlns="http://schemas.openxmlformats.org/spreadsheetml/2006/main">
  <numFmts count="4">
    <numFmt numFmtId="164" formatCode="General"/>
    <numFmt numFmtId="165" formatCode="M/D/YYYY"/>
    <numFmt numFmtId="166" formatCode="0.00"/>
    <numFmt numFmtId="167" formatCode="0%"/>
  </numFmts>
  <fonts count="10">
    <font>
      <sz val="11"/>
      <color rgb="FF000000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10"/>
      <color rgb="FFFFFFFF"/>
      <name val="Arial"/>
      <family val="2"/>
      <charset val="1"/>
    </font>
    <font>
      <b val="true"/>
      <sz val="11"/>
      <color rgb="FF000000"/>
      <name val="Calibri"/>
      <family val="2"/>
      <charset val="1"/>
    </font>
    <font>
      <b val="true"/>
      <sz val="11"/>
      <color rgb="FF000000"/>
      <name val="Arial"/>
      <family val="2"/>
      <charset val="1"/>
    </font>
    <font>
      <b val="true"/>
      <sz val="10"/>
      <color rgb="FF000000"/>
      <name val="Arial"/>
      <family val="2"/>
      <charset val="1"/>
    </font>
    <font>
      <sz val="11"/>
      <color rgb="FF000000"/>
      <name val="Arial"/>
      <family val="2"/>
      <charset val="1"/>
    </font>
    <font>
      <sz val="10"/>
      <color rgb="FF000000"/>
      <name val="Arial"/>
      <family val="2"/>
      <charset val="1"/>
    </font>
  </fonts>
  <fills count="11">
    <fill>
      <patternFill patternType="none"/>
    </fill>
    <fill>
      <patternFill patternType="gray125"/>
    </fill>
    <fill>
      <patternFill patternType="solid">
        <fgColor rgb="FF203864"/>
        <bgColor rgb="FF333333"/>
      </patternFill>
    </fill>
    <fill>
      <patternFill patternType="solid">
        <fgColor rgb="FFC00000"/>
        <bgColor rgb="FF9C0006"/>
      </patternFill>
    </fill>
    <fill>
      <patternFill patternType="solid">
        <fgColor rgb="FF808080"/>
        <bgColor rgb="FF969696"/>
      </patternFill>
    </fill>
    <fill>
      <patternFill patternType="solid">
        <fgColor rgb="FF7030A0"/>
        <bgColor rgb="FF993366"/>
      </patternFill>
    </fill>
    <fill>
      <patternFill patternType="solid">
        <fgColor rgb="FFED7D31"/>
        <bgColor rgb="FFFF8080"/>
      </patternFill>
    </fill>
    <fill>
      <patternFill patternType="solid">
        <fgColor rgb="FFFFFF00"/>
        <bgColor rgb="FFFFFF00"/>
      </patternFill>
    </fill>
    <fill>
      <patternFill patternType="solid">
        <fgColor rgb="FFADB9CA"/>
        <bgColor rgb="FF9DC3E6"/>
      </patternFill>
    </fill>
    <fill>
      <patternFill patternType="solid">
        <fgColor rgb="FF8DB4E3"/>
        <bgColor rgb="FF9DC3E6"/>
      </patternFill>
    </fill>
    <fill>
      <patternFill patternType="solid">
        <fgColor rgb="FF9DC3E6"/>
        <bgColor rgb="FF8DB4E3"/>
      </patternFill>
    </fill>
  </fills>
  <borders count="13">
    <border diagonalUp="false" diagonalDown="false">
      <left/>
      <right/>
      <top/>
      <bottom/>
      <diagonal/>
    </border>
    <border diagonalUp="false" diagonalDown="false">
      <left style="thin"/>
      <right style="thin"/>
      <top style="thin"/>
      <bottom style="thin"/>
      <diagonal/>
    </border>
    <border diagonalUp="false" diagonalDown="false">
      <left style="thin"/>
      <right/>
      <top/>
      <bottom/>
      <diagonal/>
    </border>
    <border diagonalUp="false" diagonalDown="false">
      <left/>
      <right style="thin"/>
      <top/>
      <bottom/>
      <diagonal/>
    </border>
    <border diagonalUp="false" diagonalDown="false">
      <left style="thin"/>
      <right style="thin"/>
      <top/>
      <bottom/>
      <diagonal/>
    </border>
    <border diagonalUp="false" diagonalDown="false">
      <left style="thin"/>
      <right style="thin"/>
      <top style="thin"/>
      <bottom/>
      <diagonal/>
    </border>
    <border diagonalUp="false" diagonalDown="false">
      <left style="thin"/>
      <right style="thin"/>
      <top/>
      <bottom style="thin"/>
      <diagonal/>
    </border>
    <border diagonalUp="false" diagonalDown="false">
      <left style="thin"/>
      <right style="thin"/>
      <top style="thin"/>
      <bottom style="medium"/>
      <diagonal/>
    </border>
    <border diagonalUp="false" diagonalDown="false">
      <left/>
      <right style="thin"/>
      <top style="thin"/>
      <bottom style="thin"/>
      <diagonal/>
    </border>
    <border diagonalUp="false" diagonalDown="false">
      <left style="medium"/>
      <right/>
      <top style="medium"/>
      <bottom/>
      <diagonal/>
    </border>
    <border diagonalUp="false" diagonalDown="false">
      <left style="medium"/>
      <right style="medium"/>
      <top style="medium"/>
      <bottom/>
      <diagonal/>
    </border>
    <border diagonalUp="false" diagonalDown="false">
      <left/>
      <right/>
      <top style="thin"/>
      <bottom style="thin"/>
      <diagonal/>
    </border>
    <border diagonalUp="false" diagonalDown="false">
      <left style="thin"/>
      <right/>
      <top style="thin"/>
      <bottom style="thin"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167" fontId="0" fillId="0" borderId="0" applyFont="true" applyBorder="false" applyAlignment="true" applyProtection="false">
      <alignment horizontal="general" vertical="bottom" textRotation="0" wrapText="false" indent="0" shrinkToFit="false"/>
    </xf>
  </cellStyleXfs>
  <cellXfs count="45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2" borderId="1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4" fillId="3" borderId="1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4" fillId="4" borderId="1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5" fontId="4" fillId="4" borderId="1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5" fontId="4" fillId="5" borderId="1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0" fillId="6" borderId="1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0" fillId="0" borderId="0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2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0" fillId="0" borderId="0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3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0" fillId="7" borderId="2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7" borderId="0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" xfId="0" applyFont="true" applyBorder="true" applyAlignment="true" applyProtection="false">
      <alignment horizontal="general" vertical="bottom" textRotation="0" wrapText="true" indent="0" shrinkToFit="false"/>
      <protection locked="true" hidden="false"/>
    </xf>
    <xf numFmtId="164" fontId="0" fillId="0" borderId="0" xfId="0" applyFont="true" applyBorder="false" applyAlignment="true" applyProtection="false">
      <alignment horizontal="center" vertical="center" textRotation="0" wrapText="true" indent="0" shrinkToFit="false"/>
      <protection locked="true" hidden="false"/>
    </xf>
    <xf numFmtId="164" fontId="0" fillId="0" borderId="4" xfId="0" applyFont="false" applyBorder="true" applyAlignment="true" applyProtection="false">
      <alignment horizontal="general" vertical="bottom" textRotation="0" wrapText="true" indent="0" shrinkToFit="false"/>
      <protection locked="true" hidden="false"/>
    </xf>
    <xf numFmtId="164" fontId="0" fillId="0" borderId="4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5" fillId="8" borderId="1" xfId="0" applyFont="true" applyBorder="true" applyAlignment="false" applyProtection="true">
      <alignment horizontal="general" vertical="bottom" textRotation="0" wrapText="false" indent="0" shrinkToFit="false"/>
      <protection locked="false" hidden="false"/>
    </xf>
    <xf numFmtId="164" fontId="0" fillId="0" borderId="1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0" fillId="0" borderId="0" xfId="0" applyFont="true" applyBorder="false" applyAlignment="true" applyProtection="true">
      <alignment horizontal="center" vertical="bottom" textRotation="0" wrapText="false" indent="0" shrinkToFit="false"/>
      <protection locked="false" hidden="false"/>
    </xf>
    <xf numFmtId="164" fontId="0" fillId="0" borderId="5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0" fillId="0" borderId="0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0" fillId="0" borderId="6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6" fillId="0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6" fillId="0" borderId="1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6" fontId="7" fillId="0" borderId="7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7" fillId="0" borderId="8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7" fontId="7" fillId="0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6" fillId="9" borderId="9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6" fillId="9" borderId="10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6" fillId="10" borderId="1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8" fillId="0" borderId="11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9" fillId="0" borderId="1" xfId="0" applyFont="true" applyBorder="true" applyAlignment="true" applyProtection="false">
      <alignment horizontal="left" vertical="center" textRotation="0" wrapText="true" indent="0" shrinkToFit="false"/>
      <protection locked="true" hidden="false"/>
    </xf>
    <xf numFmtId="164" fontId="8" fillId="0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7" fontId="8" fillId="0" borderId="1" xfId="19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7" fontId="8" fillId="0" borderId="1" xfId="19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8" fillId="0" borderId="1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8" fillId="0" borderId="12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8" fillId="0" borderId="12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7" fillId="0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9" fillId="0" borderId="1" xfId="0" applyFont="true" applyBorder="true" applyAlignment="true" applyProtection="false">
      <alignment horizontal="left" vertical="center" textRotation="0" wrapText="false" indent="0" shrinkToFit="false"/>
      <protection locked="true" hidden="false"/>
    </xf>
  </cellXfs>
  <cellStyles count="6">
    <cellStyle name="Normal" xfId="0" builtinId="0" customBuiltin="false"/>
    <cellStyle name="Comma" xfId="15" builtinId="3" customBuiltin="false"/>
    <cellStyle name="Comma [0]" xfId="16" builtinId="6" customBuiltin="false"/>
    <cellStyle name="Currency" xfId="17" builtinId="4" customBuiltin="false"/>
    <cellStyle name="Currency [0]" xfId="18" builtinId="7" customBuiltin="false"/>
    <cellStyle name="Percent" xfId="19" builtinId="5" customBuiltin="false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colors>
    <indexedColors>
      <rgbColor rgb="FF000000"/>
      <rgbColor rgb="FFFFFFFF"/>
      <rgbColor rgb="FFC00000"/>
      <rgbColor rgb="FF00FF00"/>
      <rgbColor rgb="FF0000FF"/>
      <rgbColor rgb="FFFFFF00"/>
      <rgbColor rgb="FFFF00FF"/>
      <rgbColor rgb="FF00FFFF"/>
      <rgbColor rgb="FF9C0006"/>
      <rgbColor rgb="FF008000"/>
      <rgbColor rgb="FF000080"/>
      <rgbColor rgb="FF808000"/>
      <rgbColor rgb="FF800080"/>
      <rgbColor rgb="FF008080"/>
      <rgbColor rgb="FFADB9CA"/>
      <rgbColor rgb="FF808080"/>
      <rgbColor rgb="FF8DB4E3"/>
      <rgbColor rgb="FF7030A0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DC3E6"/>
      <rgbColor rgb="FFFF99CC"/>
      <rgbColor rgb="FFCC99FF"/>
      <rgbColor rgb="FFFFC7CE"/>
      <rgbColor rgb="FF3366FF"/>
      <rgbColor rgb="FF33CCCC"/>
      <rgbColor rgb="FF99CC00"/>
      <rgbColor rgb="FFFFCC00"/>
      <rgbColor rgb="FFFF9900"/>
      <rgbColor rgb="FFED7D31"/>
      <rgbColor rgb="FF666699"/>
      <rgbColor rgb="FF969696"/>
      <rgbColor rgb="FF203864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sharedStrings" Target="sharedStrings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worksheets/_rels/sheet1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AK19"/>
  <sheetViews>
    <sheetView windowProtection="false" showFormulas="false" showGridLines="true" showRowColHeaders="true" showZeros="true" rightToLeft="false" tabSelected="true" showOutlineSymbols="true" defaultGridColor="true" view="normal" topLeftCell="AG1" colorId="64" zoomScale="100" zoomScaleNormal="100" zoomScalePageLayoutView="100" workbookViewId="0">
      <selection pane="topLeft" activeCell="AI3" activeCellId="0" sqref="AI3"/>
    </sheetView>
  </sheetViews>
  <sheetFormatPr defaultRowHeight="30"/>
  <cols>
    <col collapsed="false" hidden="false" max="1" min="1" style="0" width="15.1052631578947"/>
    <col collapsed="false" hidden="false" max="2" min="2" style="0" width="17.6761133603239"/>
    <col collapsed="false" hidden="false" max="3" min="3" style="0" width="23.3522267206478"/>
    <col collapsed="false" hidden="false" max="4" min="4" style="0" width="15.6396761133603"/>
    <col collapsed="false" hidden="false" max="5" min="5" style="0" width="12.6396761133603"/>
    <col collapsed="false" hidden="false" max="6" min="6" style="0" width="16.3886639676113"/>
    <col collapsed="false" hidden="false" max="7" min="7" style="0" width="15.3198380566802"/>
    <col collapsed="false" hidden="false" max="8" min="8" style="0" width="13.2834008097166"/>
    <col collapsed="false" hidden="false" max="9" min="9" style="0" width="14.1417004048583"/>
    <col collapsed="false" hidden="false" max="10" min="10" style="0" width="32.5627530364372"/>
    <col collapsed="false" hidden="false" max="11" min="11" style="0" width="17.8906882591093"/>
    <col collapsed="false" hidden="false" max="12" min="12" style="0" width="27.5303643724696"/>
    <col collapsed="false" hidden="false" max="13" min="13" style="0" width="20.3522267206478"/>
    <col collapsed="false" hidden="false" max="14" min="14" style="0" width="12.6396761133603"/>
    <col collapsed="false" hidden="false" max="15" min="15" style="0" width="11.3562753036437"/>
    <col collapsed="false" hidden="false" max="16" min="16" style="0" width="20.6720647773279"/>
    <col collapsed="false" hidden="false" max="17" min="17" style="0" width="13.6032388663968"/>
    <col collapsed="false" hidden="false" max="18" min="18" style="0" width="19.1740890688259"/>
    <col collapsed="false" hidden="false" max="19" min="19" style="0" width="19.7085020242915"/>
    <col collapsed="false" hidden="false" max="20" min="20" style="0" width="20.5668016194332"/>
    <col collapsed="false" hidden="false" max="21" min="21" style="0" width="23.3522267206478"/>
    <col collapsed="false" hidden="false" max="22" min="22" style="0" width="25.2793522267206"/>
    <col collapsed="false" hidden="false" max="23" min="23" style="0" width="20.246963562753"/>
    <col collapsed="false" hidden="false" max="24" min="24" style="0" width="17.5668016194332"/>
    <col collapsed="false" hidden="false" max="25" min="25" style="0" width="20.1376518218623"/>
    <col collapsed="false" hidden="false" max="26" min="26" style="0" width="14.1417004048583"/>
    <col collapsed="false" hidden="false" max="27" min="27" style="0" width="14.8906882591093"/>
    <col collapsed="false" hidden="false" max="28" min="28" style="0" width="13.6032388663968"/>
    <col collapsed="false" hidden="false" max="29" min="29" style="0" width="24.7449392712551"/>
    <col collapsed="false" hidden="false" max="30" min="30" style="0" width="25.2793522267206"/>
    <col collapsed="false" hidden="false" max="31" min="31" style="0" width="18.1012145748988"/>
    <col collapsed="false" hidden="false" max="32" min="32" style="0" width="17.246963562753"/>
    <col collapsed="false" hidden="false" max="33" min="33" style="0" width="18.6396761133603"/>
    <col collapsed="false" hidden="false" max="34" min="34" style="0" width="16.2834008097166"/>
    <col collapsed="false" hidden="false" max="35" min="35" style="0" width="17.7813765182186"/>
    <col collapsed="false" hidden="false" max="36" min="36" style="0" width="35.1336032388664"/>
    <col collapsed="false" hidden="false" max="37" min="37" style="0" width="38.7773279352227"/>
    <col collapsed="false" hidden="false" max="38" min="38" style="0" width="31.0647773279352"/>
    <col collapsed="false" hidden="false" max="1025" min="39" style="0" width="9.10526315789474"/>
  </cols>
  <sheetData>
    <row r="1" customFormat="false" ht="99" hidden="false" customHeight="true" outlineLevel="0" collapsed="false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2" t="s">
        <v>16</v>
      </c>
      <c r="R1" s="2" t="s">
        <v>17</v>
      </c>
      <c r="S1" s="2" t="s">
        <v>18</v>
      </c>
      <c r="T1" s="1" t="s">
        <v>19</v>
      </c>
      <c r="U1" s="1" t="s">
        <v>20</v>
      </c>
      <c r="V1" s="1" t="s">
        <v>21</v>
      </c>
      <c r="W1" s="1" t="s">
        <v>22</v>
      </c>
      <c r="X1" s="1" t="s">
        <v>23</v>
      </c>
      <c r="Y1" s="3" t="s">
        <v>24</v>
      </c>
      <c r="Z1" s="4" t="s">
        <v>25</v>
      </c>
      <c r="AA1" s="3" t="s">
        <v>26</v>
      </c>
      <c r="AB1" s="3" t="s">
        <v>27</v>
      </c>
      <c r="AC1" s="3" t="s">
        <v>28</v>
      </c>
      <c r="AD1" s="4" t="s">
        <v>29</v>
      </c>
      <c r="AE1" s="4" t="s">
        <v>30</v>
      </c>
      <c r="AF1" s="4" t="s">
        <v>31</v>
      </c>
      <c r="AG1" s="4" t="s">
        <v>32</v>
      </c>
      <c r="AH1" s="5" t="s">
        <v>33</v>
      </c>
      <c r="AI1" s="6" t="s">
        <v>34</v>
      </c>
      <c r="AJ1" s="6" t="s">
        <v>35</v>
      </c>
      <c r="AK1" s="6" t="s">
        <v>36</v>
      </c>
    </row>
    <row r="2" customFormat="false" ht="30" hidden="false" customHeight="true" outlineLevel="0" collapsed="false">
      <c r="A2" s="7" t="s">
        <v>37</v>
      </c>
      <c r="B2" s="7" t="s">
        <v>38</v>
      </c>
      <c r="C2" s="7" t="s">
        <v>39</v>
      </c>
      <c r="D2" s="7" t="s">
        <v>40</v>
      </c>
      <c r="E2" s="7" t="n">
        <v>23</v>
      </c>
      <c r="F2" s="7" t="n">
        <v>1075628444</v>
      </c>
      <c r="G2" s="7" t="s">
        <v>41</v>
      </c>
      <c r="H2" s="7" t="s">
        <v>42</v>
      </c>
      <c r="I2" s="7" t="s">
        <v>43</v>
      </c>
      <c r="J2" s="7" t="s">
        <v>44</v>
      </c>
      <c r="K2" s="7" t="s">
        <v>45</v>
      </c>
      <c r="L2" s="7" t="s">
        <v>46</v>
      </c>
      <c r="M2" s="7" t="s">
        <v>47</v>
      </c>
      <c r="N2" s="7" t="n">
        <v>2829</v>
      </c>
      <c r="O2" s="7" t="n">
        <v>90921</v>
      </c>
      <c r="P2" s="7" t="s">
        <v>48</v>
      </c>
      <c r="Q2" s="7" t="s">
        <v>49</v>
      </c>
      <c r="R2" s="7" t="s">
        <v>50</v>
      </c>
      <c r="S2" s="7" t="s">
        <v>51</v>
      </c>
      <c r="T2" s="7" t="n">
        <v>201765</v>
      </c>
      <c r="U2" s="7" t="n">
        <v>201565</v>
      </c>
      <c r="V2" s="7" t="s">
        <v>52</v>
      </c>
      <c r="W2" s="7" t="s">
        <v>53</v>
      </c>
      <c r="X2" s="7" t="n">
        <v>25368</v>
      </c>
      <c r="Y2" s="7" t="s">
        <v>54</v>
      </c>
      <c r="Z2" s="7" t="s">
        <v>55</v>
      </c>
      <c r="AA2" s="7" t="s">
        <v>56</v>
      </c>
      <c r="AB2" s="7" t="s">
        <v>57</v>
      </c>
      <c r="AC2" s="7" t="s">
        <v>58</v>
      </c>
      <c r="AD2" s="7" t="s">
        <v>59</v>
      </c>
      <c r="AE2" s="7" t="s">
        <v>60</v>
      </c>
      <c r="AF2" s="7" t="s">
        <v>61</v>
      </c>
      <c r="AG2" s="7" t="s">
        <v>62</v>
      </c>
      <c r="AH2" s="7" t="s">
        <v>63</v>
      </c>
      <c r="AI2" s="7" t="s">
        <v>64</v>
      </c>
      <c r="AJ2" s="7" t="s">
        <v>65</v>
      </c>
      <c r="AK2" s="7" t="s">
        <v>66</v>
      </c>
    </row>
    <row r="3" customFormat="false" ht="30" hidden="false" customHeight="true" outlineLevel="0" collapsed="false">
      <c r="A3" s="7" t="s">
        <v>67</v>
      </c>
      <c r="B3" s="7" t="s">
        <v>68</v>
      </c>
      <c r="C3" s="7" t="s">
        <v>69</v>
      </c>
      <c r="D3" s="7" t="s">
        <v>70</v>
      </c>
      <c r="E3" s="7" t="n">
        <v>32</v>
      </c>
      <c r="F3" s="7" t="n">
        <v>80358424</v>
      </c>
      <c r="G3" s="7" t="s">
        <v>41</v>
      </c>
      <c r="H3" s="7" t="s">
        <v>42</v>
      </c>
      <c r="I3" s="7" t="s">
        <v>43</v>
      </c>
      <c r="J3" s="7" t="s">
        <v>44</v>
      </c>
      <c r="K3" s="7" t="s">
        <v>45</v>
      </c>
      <c r="L3" s="7" t="s">
        <v>46</v>
      </c>
      <c r="M3" s="7" t="s">
        <v>47</v>
      </c>
      <c r="N3" s="7" t="n">
        <v>2829</v>
      </c>
      <c r="O3" s="7" t="n">
        <v>90921</v>
      </c>
      <c r="P3" s="7" t="s">
        <v>48</v>
      </c>
      <c r="Q3" s="7" t="s">
        <v>49</v>
      </c>
      <c r="R3" s="7" t="s">
        <v>50</v>
      </c>
      <c r="S3" s="7" t="s">
        <v>51</v>
      </c>
      <c r="T3" s="7" t="n">
        <v>201765</v>
      </c>
      <c r="U3" s="7" t="n">
        <v>201315</v>
      </c>
      <c r="V3" s="7" t="s">
        <v>52</v>
      </c>
      <c r="W3" s="7" t="s">
        <v>53</v>
      </c>
      <c r="X3" s="7" t="n">
        <v>25307</v>
      </c>
      <c r="Y3" s="7" t="s">
        <v>71</v>
      </c>
      <c r="Z3" s="7" t="s">
        <v>72</v>
      </c>
      <c r="AA3" s="7" t="s">
        <v>73</v>
      </c>
      <c r="AB3" s="7" t="s">
        <v>74</v>
      </c>
      <c r="AC3" s="7" t="s">
        <v>75</v>
      </c>
      <c r="AD3" s="7" t="s">
        <v>59</v>
      </c>
      <c r="AE3" s="7" t="s">
        <v>76</v>
      </c>
      <c r="AF3" s="7" t="s">
        <v>61</v>
      </c>
      <c r="AG3" s="7" t="s">
        <v>77</v>
      </c>
      <c r="AH3" s="7" t="s">
        <v>63</v>
      </c>
      <c r="AI3" s="7" t="s">
        <v>78</v>
      </c>
      <c r="AJ3" s="7" t="s">
        <v>79</v>
      </c>
      <c r="AK3" s="7" t="s">
        <v>80</v>
      </c>
    </row>
    <row r="4" customFormat="false" ht="30" hidden="false" customHeight="true" outlineLevel="0" collapsed="false">
      <c r="A4" s="7" t="s">
        <v>81</v>
      </c>
      <c r="B4" s="7" t="s">
        <v>82</v>
      </c>
      <c r="C4" s="7" t="s">
        <v>83</v>
      </c>
      <c r="D4" s="7" t="s">
        <v>40</v>
      </c>
      <c r="E4" s="7" t="n">
        <v>18</v>
      </c>
      <c r="F4" s="7" t="n">
        <v>1106901107</v>
      </c>
      <c r="G4" s="7" t="s">
        <v>41</v>
      </c>
      <c r="H4" s="7" t="s">
        <v>42</v>
      </c>
      <c r="I4" s="7" t="s">
        <v>43</v>
      </c>
      <c r="J4" s="7" t="s">
        <v>44</v>
      </c>
      <c r="K4" s="7" t="s">
        <v>45</v>
      </c>
      <c r="L4" s="7" t="s">
        <v>46</v>
      </c>
      <c r="M4" s="7" t="s">
        <v>47</v>
      </c>
      <c r="N4" s="7" t="n">
        <v>2829</v>
      </c>
      <c r="O4" s="7" t="n">
        <v>90921</v>
      </c>
      <c r="P4" s="7" t="s">
        <v>48</v>
      </c>
      <c r="Q4" s="7" t="s">
        <v>49</v>
      </c>
      <c r="R4" s="7" t="s">
        <v>50</v>
      </c>
      <c r="S4" s="7" t="s">
        <v>51</v>
      </c>
      <c r="T4" s="7" t="n">
        <v>201765</v>
      </c>
      <c r="U4" s="7" t="n">
        <v>201765</v>
      </c>
      <c r="V4" s="7" t="s">
        <v>52</v>
      </c>
      <c r="W4" s="7" t="s">
        <v>84</v>
      </c>
      <c r="X4" s="7" t="n">
        <v>73449</v>
      </c>
      <c r="Y4" s="7" t="s">
        <v>85</v>
      </c>
      <c r="Z4" s="7" t="s">
        <v>86</v>
      </c>
      <c r="AA4" s="7" t="s">
        <v>87</v>
      </c>
      <c r="AB4" s="7" t="s">
        <v>88</v>
      </c>
      <c r="AC4" s="7" t="s">
        <v>89</v>
      </c>
      <c r="AD4" s="7" t="s">
        <v>90</v>
      </c>
      <c r="AE4" s="7" t="s">
        <v>91</v>
      </c>
      <c r="AF4" s="7" t="s">
        <v>92</v>
      </c>
      <c r="AG4" s="7" t="s">
        <v>93</v>
      </c>
      <c r="AH4" s="7" t="s">
        <v>63</v>
      </c>
      <c r="AI4" s="7" t="s">
        <v>94</v>
      </c>
      <c r="AJ4" s="7" t="s">
        <v>95</v>
      </c>
      <c r="AK4" s="7" t="s">
        <v>66</v>
      </c>
    </row>
    <row r="5" customFormat="false" ht="30" hidden="false" customHeight="true" outlineLevel="0" collapsed="false">
      <c r="A5" s="7" t="s">
        <v>96</v>
      </c>
      <c r="B5" s="7" t="s">
        <v>97</v>
      </c>
      <c r="C5" s="7" t="s">
        <v>98</v>
      </c>
      <c r="D5" s="7" t="s">
        <v>40</v>
      </c>
      <c r="E5" s="7" t="n">
        <v>23</v>
      </c>
      <c r="F5" s="7" t="n">
        <v>1116262092</v>
      </c>
      <c r="G5" s="7" t="s">
        <v>41</v>
      </c>
      <c r="H5" s="7" t="s">
        <v>42</v>
      </c>
      <c r="I5" s="7" t="s">
        <v>43</v>
      </c>
      <c r="J5" s="7" t="s">
        <v>44</v>
      </c>
      <c r="K5" s="7" t="s">
        <v>45</v>
      </c>
      <c r="L5" s="7" t="s">
        <v>46</v>
      </c>
      <c r="M5" s="7" t="s">
        <v>47</v>
      </c>
      <c r="N5" s="7" t="n">
        <v>2829</v>
      </c>
      <c r="O5" s="7" t="n">
        <v>90921</v>
      </c>
      <c r="P5" s="7" t="s">
        <v>48</v>
      </c>
      <c r="Q5" s="7" t="s">
        <v>49</v>
      </c>
      <c r="R5" s="7" t="s">
        <v>50</v>
      </c>
      <c r="S5" s="7" t="s">
        <v>51</v>
      </c>
      <c r="T5" s="7" t="n">
        <v>201765</v>
      </c>
      <c r="U5" s="7" t="n">
        <v>201765</v>
      </c>
      <c r="V5" s="7" t="s">
        <v>52</v>
      </c>
      <c r="W5" s="7" t="s">
        <v>84</v>
      </c>
      <c r="X5" s="7" t="n">
        <v>73449</v>
      </c>
      <c r="Y5" s="7" t="s">
        <v>99</v>
      </c>
      <c r="Z5" s="7" t="s">
        <v>100</v>
      </c>
      <c r="AA5" s="7" t="s">
        <v>101</v>
      </c>
      <c r="AB5" s="7" t="s">
        <v>102</v>
      </c>
      <c r="AC5" s="7" t="s">
        <v>103</v>
      </c>
      <c r="AD5" s="7" t="s">
        <v>90</v>
      </c>
      <c r="AE5" s="7" t="s">
        <v>104</v>
      </c>
      <c r="AF5" s="7" t="s">
        <v>92</v>
      </c>
      <c r="AG5" s="7" t="s">
        <v>93</v>
      </c>
      <c r="AH5" s="7" t="s">
        <v>63</v>
      </c>
      <c r="AI5" s="7" t="s">
        <v>105</v>
      </c>
      <c r="AJ5" s="7" t="s">
        <v>106</v>
      </c>
      <c r="AK5" s="7" t="s">
        <v>107</v>
      </c>
    </row>
    <row r="6" customFormat="false" ht="30" hidden="false" customHeight="true" outlineLevel="0" collapsed="false">
      <c r="A6" s="7" t="s">
        <v>108</v>
      </c>
      <c r="B6" s="7" t="s">
        <v>109</v>
      </c>
      <c r="C6" s="7" t="s">
        <v>110</v>
      </c>
      <c r="D6" s="7" t="s">
        <v>70</v>
      </c>
      <c r="E6" s="7" t="n">
        <v>18</v>
      </c>
      <c r="F6" s="7" t="n">
        <v>1075629971</v>
      </c>
      <c r="G6" s="7" t="s">
        <v>41</v>
      </c>
      <c r="H6" s="7" t="s">
        <v>42</v>
      </c>
      <c r="I6" s="7" t="s">
        <v>43</v>
      </c>
      <c r="J6" s="7" t="s">
        <v>44</v>
      </c>
      <c r="K6" s="7" t="s">
        <v>45</v>
      </c>
      <c r="L6" s="7" t="s">
        <v>46</v>
      </c>
      <c r="M6" s="7" t="s">
        <v>47</v>
      </c>
      <c r="N6" s="7" t="n">
        <v>2829</v>
      </c>
      <c r="O6" s="7" t="n">
        <v>90921</v>
      </c>
      <c r="P6" s="7" t="s">
        <v>48</v>
      </c>
      <c r="Q6" s="7" t="s">
        <v>111</v>
      </c>
      <c r="R6" s="7" t="s">
        <v>112</v>
      </c>
      <c r="S6" s="7" t="s">
        <v>51</v>
      </c>
      <c r="T6" s="7" t="n">
        <v>201765</v>
      </c>
      <c r="U6" s="7" t="n">
        <v>201765</v>
      </c>
      <c r="V6" s="7" t="s">
        <v>52</v>
      </c>
      <c r="W6" s="7" t="s">
        <v>84</v>
      </c>
      <c r="X6" s="7" t="n">
        <v>25599</v>
      </c>
      <c r="Y6" s="7" t="s">
        <v>73</v>
      </c>
      <c r="Z6" s="7" t="s">
        <v>113</v>
      </c>
      <c r="AA6" s="7" t="s">
        <v>114</v>
      </c>
      <c r="AB6" s="7" t="s">
        <v>115</v>
      </c>
      <c r="AC6" s="7" t="s">
        <v>116</v>
      </c>
      <c r="AD6" s="7" t="s">
        <v>90</v>
      </c>
      <c r="AE6" s="7" t="s">
        <v>117</v>
      </c>
      <c r="AF6" s="7" t="s">
        <v>61</v>
      </c>
      <c r="AG6" s="7" t="s">
        <v>118</v>
      </c>
      <c r="AH6" s="7" t="s">
        <v>63</v>
      </c>
      <c r="AI6" s="7" t="s">
        <v>119</v>
      </c>
      <c r="AJ6" s="7" t="s">
        <v>120</v>
      </c>
      <c r="AK6" s="7" t="s">
        <v>121</v>
      </c>
    </row>
    <row r="7" customFormat="false" ht="30" hidden="false" customHeight="true" outlineLevel="0" collapsed="false">
      <c r="A7" s="8"/>
      <c r="B7" s="9"/>
      <c r="C7" s="9"/>
      <c r="D7" s="9"/>
      <c r="E7" s="9"/>
      <c r="F7" s="10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10"/>
      <c r="U7" s="10"/>
      <c r="V7" s="9"/>
      <c r="W7" s="9"/>
      <c r="X7" s="9"/>
      <c r="Y7" s="9"/>
      <c r="Z7" s="11"/>
      <c r="AA7" s="9"/>
      <c r="AB7" s="9"/>
      <c r="AC7" s="9"/>
      <c r="AD7" s="11"/>
      <c r="AE7" s="9"/>
      <c r="AF7" s="9"/>
      <c r="AG7" s="9"/>
      <c r="AH7" s="12"/>
      <c r="AI7" s="13"/>
      <c r="AJ7" s="14"/>
      <c r="AK7" s="14"/>
    </row>
    <row r="8" customFormat="false" ht="30" hidden="false" customHeight="true" outlineLevel="0" collapsed="false">
      <c r="A8" s="15" t="s">
        <v>122</v>
      </c>
      <c r="B8" s="16"/>
      <c r="C8" s="16"/>
      <c r="D8" s="9"/>
      <c r="E8" s="9"/>
      <c r="F8" s="10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10"/>
      <c r="U8" s="10"/>
      <c r="V8" s="9"/>
      <c r="W8" s="9"/>
      <c r="X8" s="9"/>
      <c r="Y8" s="9"/>
      <c r="Z8" s="11"/>
      <c r="AA8" s="9"/>
      <c r="AB8" s="9"/>
      <c r="AC8" s="9"/>
      <c r="AD8" s="11"/>
      <c r="AE8" s="9"/>
      <c r="AF8" s="9"/>
      <c r="AG8" s="9"/>
      <c r="AH8" s="12"/>
      <c r="AI8" s="13"/>
      <c r="AJ8" s="14"/>
      <c r="AK8" s="14"/>
    </row>
    <row r="9" customFormat="false" ht="30" hidden="false" customHeight="true" outlineLevel="0" collapsed="false">
      <c r="A9" s="8"/>
      <c r="B9" s="9"/>
      <c r="C9" s="9"/>
      <c r="D9" s="9"/>
      <c r="E9" s="9"/>
      <c r="F9" s="10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10"/>
      <c r="U9" s="10"/>
      <c r="V9" s="9"/>
      <c r="W9" s="9"/>
      <c r="X9" s="9"/>
      <c r="Y9" s="9"/>
      <c r="Z9" s="11"/>
      <c r="AA9" s="9"/>
      <c r="AB9" s="9"/>
      <c r="AC9" s="9"/>
      <c r="AD9" s="11"/>
      <c r="AE9" s="9"/>
      <c r="AF9" s="9"/>
      <c r="AG9" s="9"/>
      <c r="AH9" s="12"/>
      <c r="AI9" s="17"/>
      <c r="AJ9" s="14"/>
      <c r="AK9" s="14"/>
    </row>
    <row r="10" customFormat="false" ht="30" hidden="false" customHeight="true" outlineLevel="0" collapsed="false">
      <c r="A10" s="8"/>
      <c r="B10" s="9"/>
      <c r="C10" s="9"/>
      <c r="D10" s="9"/>
      <c r="E10" s="9"/>
      <c r="F10" s="10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10"/>
      <c r="U10" s="10"/>
      <c r="V10" s="9"/>
      <c r="W10" s="9"/>
      <c r="X10" s="9"/>
      <c r="Y10" s="9"/>
      <c r="Z10" s="11"/>
      <c r="AA10" s="9"/>
      <c r="AB10" s="9"/>
      <c r="AC10" s="9"/>
      <c r="AD10" s="11"/>
      <c r="AE10" s="9"/>
      <c r="AF10" s="9"/>
      <c r="AG10" s="9"/>
      <c r="AH10" s="12"/>
      <c r="AI10" s="13"/>
      <c r="AJ10" s="14"/>
      <c r="AK10" s="14"/>
    </row>
    <row r="11" customFormat="false" ht="30" hidden="false" customHeight="true" outlineLevel="0" collapsed="false">
      <c r="A11" s="8"/>
      <c r="B11" s="9"/>
      <c r="C11" s="9"/>
      <c r="D11" s="9"/>
      <c r="E11" s="9"/>
      <c r="F11" s="10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10"/>
      <c r="U11" s="10"/>
      <c r="V11" s="9"/>
      <c r="W11" s="9"/>
      <c r="X11" s="9"/>
      <c r="Y11" s="9"/>
      <c r="Z11" s="11"/>
      <c r="AA11" s="9"/>
      <c r="AB11" s="9"/>
      <c r="AC11" s="9"/>
      <c r="AD11" s="11"/>
      <c r="AE11" s="9"/>
      <c r="AF11" s="9"/>
      <c r="AG11" s="9"/>
      <c r="AH11" s="12"/>
      <c r="AI11" s="17"/>
      <c r="AJ11" s="14"/>
      <c r="AK11" s="14"/>
    </row>
    <row r="12" customFormat="false" ht="30" hidden="false" customHeight="true" outlineLevel="0" collapsed="false">
      <c r="A12" s="8"/>
      <c r="B12" s="9"/>
      <c r="C12" s="9"/>
      <c r="D12" s="9"/>
      <c r="E12" s="9"/>
      <c r="F12" s="10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10"/>
      <c r="U12" s="10"/>
      <c r="V12" s="9"/>
      <c r="W12" s="9"/>
      <c r="X12" s="9"/>
      <c r="Y12" s="9"/>
      <c r="Z12" s="11"/>
      <c r="AA12" s="9"/>
      <c r="AB12" s="9"/>
      <c r="AC12" s="9"/>
      <c r="AD12" s="11"/>
      <c r="AE12" s="9"/>
      <c r="AF12" s="9"/>
      <c r="AG12" s="9"/>
      <c r="AH12" s="12"/>
      <c r="AI12" s="17"/>
      <c r="AJ12" s="18"/>
      <c r="AK12" s="14"/>
    </row>
    <row r="13" customFormat="false" ht="30" hidden="false" customHeight="true" outlineLevel="0" collapsed="false">
      <c r="A13" s="8"/>
      <c r="B13" s="9"/>
      <c r="C13" s="9"/>
      <c r="D13" s="9"/>
      <c r="E13" s="9"/>
      <c r="F13" s="10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10"/>
      <c r="U13" s="10"/>
      <c r="V13" s="9"/>
      <c r="W13" s="9"/>
      <c r="X13" s="9"/>
      <c r="Y13" s="9"/>
      <c r="Z13" s="11"/>
      <c r="AA13" s="9"/>
      <c r="AB13" s="9"/>
      <c r="AC13" s="9"/>
      <c r="AD13" s="11"/>
      <c r="AE13" s="9"/>
      <c r="AF13" s="9"/>
      <c r="AG13" s="9"/>
      <c r="AH13" s="12"/>
      <c r="AI13" s="19"/>
      <c r="AJ13" s="14"/>
      <c r="AK13" s="14"/>
    </row>
    <row r="14" customFormat="false" ht="30" hidden="false" customHeight="true" outlineLevel="0" collapsed="false">
      <c r="A14" s="8"/>
      <c r="B14" s="9"/>
      <c r="C14" s="9"/>
      <c r="D14" s="9"/>
      <c r="E14" s="9"/>
      <c r="F14" s="10"/>
      <c r="G14" s="9"/>
      <c r="H14" s="9"/>
      <c r="I14" s="9"/>
      <c r="J14" s="9"/>
      <c r="K14" s="9"/>
      <c r="L14" s="9"/>
      <c r="M14" s="9"/>
      <c r="N14" s="9"/>
      <c r="O14" s="9"/>
      <c r="P14" s="9"/>
      <c r="Q14" s="9"/>
      <c r="R14" s="9"/>
      <c r="S14" s="9"/>
      <c r="T14" s="10"/>
      <c r="U14" s="10"/>
      <c r="V14" s="9"/>
      <c r="W14" s="9"/>
      <c r="X14" s="9"/>
      <c r="Y14" s="9"/>
      <c r="Z14" s="11"/>
      <c r="AA14" s="9"/>
      <c r="AB14" s="9"/>
      <c r="AC14" s="9"/>
      <c r="AD14" s="11"/>
      <c r="AE14" s="9"/>
      <c r="AF14" s="9"/>
      <c r="AG14" s="9"/>
      <c r="AH14" s="12"/>
      <c r="AI14" s="20"/>
      <c r="AJ14" s="14"/>
      <c r="AK14" s="14"/>
    </row>
    <row r="15" customFormat="false" ht="30" hidden="false" customHeight="true" outlineLevel="0" collapsed="false">
      <c r="A15" s="8"/>
      <c r="B15" s="9"/>
      <c r="C15" s="9"/>
      <c r="D15" s="9"/>
      <c r="E15" s="9"/>
      <c r="F15" s="10"/>
      <c r="G15" s="9"/>
      <c r="H15" s="9"/>
      <c r="I15" s="9"/>
      <c r="J15" s="9"/>
      <c r="K15" s="9"/>
      <c r="L15" s="9"/>
      <c r="M15" s="9"/>
      <c r="N15" s="9"/>
      <c r="O15" s="9"/>
      <c r="P15" s="9"/>
      <c r="Q15" s="9"/>
      <c r="R15" s="9"/>
      <c r="S15" s="9"/>
      <c r="T15" s="10"/>
      <c r="U15" s="10"/>
      <c r="V15" s="9"/>
      <c r="W15" s="9"/>
      <c r="X15" s="9"/>
      <c r="Y15" s="9"/>
      <c r="Z15" s="11"/>
      <c r="AA15" s="9"/>
      <c r="AB15" s="9"/>
      <c r="AC15" s="9"/>
      <c r="AD15" s="11"/>
      <c r="AE15" s="9"/>
      <c r="AF15" s="9"/>
      <c r="AG15" s="9"/>
      <c r="AH15" s="12"/>
      <c r="AI15" s="20"/>
      <c r="AJ15" s="18"/>
      <c r="AK15" s="14"/>
    </row>
    <row r="16" customFormat="false" ht="30" hidden="false" customHeight="true" outlineLevel="0" collapsed="false">
      <c r="A16" s="8"/>
      <c r="B16" s="9"/>
      <c r="C16" s="9"/>
      <c r="D16" s="9"/>
      <c r="E16" s="9"/>
      <c r="F16" s="10"/>
      <c r="G16" s="9"/>
      <c r="H16" s="9"/>
      <c r="I16" s="9"/>
      <c r="J16" s="9"/>
      <c r="K16" s="9"/>
      <c r="L16" s="9"/>
      <c r="M16" s="9"/>
      <c r="N16" s="9"/>
      <c r="O16" s="9"/>
      <c r="P16" s="9"/>
      <c r="Q16" s="9"/>
      <c r="R16" s="9"/>
      <c r="S16" s="9"/>
      <c r="T16" s="10"/>
      <c r="U16" s="10"/>
      <c r="V16" s="9"/>
      <c r="W16" s="9"/>
      <c r="X16" s="9"/>
      <c r="Y16" s="9"/>
      <c r="Z16" s="11"/>
      <c r="AA16" s="9"/>
      <c r="AB16" s="9"/>
      <c r="AC16" s="9"/>
      <c r="AD16" s="11"/>
      <c r="AE16" s="9"/>
      <c r="AF16" s="9"/>
      <c r="AG16" s="9"/>
      <c r="AH16" s="12"/>
      <c r="AI16" s="20"/>
      <c r="AJ16" s="14"/>
      <c r="AK16" s="14"/>
    </row>
    <row r="17" customFormat="false" ht="30" hidden="false" customHeight="true" outlineLevel="0" collapsed="false">
      <c r="A17" s="8"/>
      <c r="B17" s="9"/>
      <c r="C17" s="9"/>
      <c r="D17" s="9"/>
      <c r="E17" s="9"/>
      <c r="F17" s="10"/>
      <c r="G17" s="9"/>
      <c r="H17" s="9"/>
      <c r="I17" s="9"/>
      <c r="J17" s="9"/>
      <c r="K17" s="9"/>
      <c r="L17" s="9"/>
      <c r="M17" s="9"/>
      <c r="N17" s="9"/>
      <c r="O17" s="9"/>
      <c r="P17" s="9"/>
      <c r="Q17" s="9"/>
      <c r="R17" s="9"/>
      <c r="S17" s="9"/>
      <c r="T17" s="10"/>
      <c r="U17" s="10"/>
      <c r="V17" s="9"/>
      <c r="W17" s="9"/>
      <c r="X17" s="9"/>
      <c r="Y17" s="9"/>
      <c r="Z17" s="11"/>
      <c r="AA17" s="9"/>
      <c r="AB17" s="9"/>
      <c r="AC17" s="9"/>
      <c r="AD17" s="11"/>
      <c r="AE17" s="9"/>
      <c r="AF17" s="9"/>
      <c r="AG17" s="9"/>
      <c r="AH17" s="12"/>
      <c r="AI17" s="20"/>
      <c r="AJ17" s="18"/>
      <c r="AK17" s="14"/>
    </row>
    <row r="18" customFormat="false" ht="30" hidden="false" customHeight="true" outlineLevel="0" collapsed="false">
      <c r="A18" s="8"/>
      <c r="B18" s="9"/>
      <c r="C18" s="9"/>
      <c r="D18" s="9"/>
      <c r="E18" s="9"/>
      <c r="F18" s="10"/>
      <c r="G18" s="9"/>
      <c r="H18" s="9"/>
      <c r="I18" s="9"/>
      <c r="J18" s="9"/>
      <c r="K18" s="9"/>
      <c r="L18" s="9"/>
      <c r="M18" s="9"/>
      <c r="N18" s="9"/>
      <c r="O18" s="9"/>
      <c r="P18" s="9"/>
      <c r="Q18" s="9"/>
      <c r="R18" s="9"/>
      <c r="S18" s="9"/>
      <c r="T18" s="10"/>
      <c r="U18" s="10"/>
      <c r="V18" s="9"/>
      <c r="W18" s="9"/>
      <c r="X18" s="9"/>
      <c r="Y18" s="9"/>
      <c r="Z18" s="11"/>
      <c r="AA18" s="9"/>
      <c r="AB18" s="9"/>
      <c r="AC18" s="9"/>
      <c r="AD18" s="11"/>
      <c r="AE18" s="9"/>
      <c r="AF18" s="9"/>
      <c r="AG18" s="9"/>
      <c r="AH18" s="12"/>
      <c r="AI18" s="13"/>
      <c r="AJ18" s="14"/>
      <c r="AK18" s="14"/>
    </row>
    <row r="19" customFormat="false" ht="30" hidden="false" customHeight="true" outlineLevel="0" collapsed="false">
      <c r="A19" s="8"/>
      <c r="B19" s="9"/>
      <c r="C19" s="9"/>
      <c r="D19" s="9"/>
      <c r="E19" s="9"/>
      <c r="F19" s="10"/>
      <c r="G19" s="9"/>
      <c r="H19" s="9"/>
      <c r="I19" s="9"/>
      <c r="J19" s="9"/>
      <c r="K19" s="9"/>
      <c r="L19" s="9"/>
      <c r="M19" s="9"/>
      <c r="N19" s="9"/>
      <c r="O19" s="9"/>
      <c r="P19" s="9"/>
      <c r="Q19" s="9"/>
      <c r="R19" s="9"/>
      <c r="S19" s="9"/>
      <c r="T19" s="10"/>
      <c r="U19" s="10"/>
      <c r="V19" s="9"/>
      <c r="W19" s="9"/>
      <c r="X19" s="9"/>
      <c r="Y19" s="9"/>
      <c r="Z19" s="11"/>
      <c r="AA19" s="9"/>
      <c r="AB19" s="9"/>
      <c r="AC19" s="9"/>
      <c r="AD19" s="11"/>
      <c r="AE19" s="9"/>
      <c r="AF19" s="9"/>
      <c r="AG19" s="9"/>
      <c r="AH19" s="12"/>
      <c r="AI19" s="17"/>
      <c r="AJ19" s="18"/>
      <c r="AK19" s="14"/>
    </row>
  </sheetData>
  <autoFilter ref="A1:AK190"/>
  <conditionalFormatting sqref="A7:A190,A1">
    <cfRule type="duplicateValues" priority="2" aboveAverage="0" equalAverage="0" bottom="0" percent="0" rank="0" text="" dxfId="0">
      <formula>0</formula>
    </cfRule>
  </conditionalFormatting>
  <conditionalFormatting sqref="A7:A190,A1">
    <cfRule type="duplicateValues" priority="3" aboveAverage="0" equalAverage="0" bottom="0" percent="0" rank="0" text="" dxfId="1">
      <formula>0</formula>
    </cfRule>
  </conditionalFormatting>
  <conditionalFormatting sqref="A3:A165">
    <cfRule type="duplicateValues" priority="4" aboveAverage="0" equalAverage="0" bottom="0" percent="0" rank="0" text="" dxfId="2">
      <formula>0</formula>
    </cfRule>
    <cfRule type="duplicateValues" priority="5" aboveAverage="0" equalAverage="0" bottom="0" percent="0" rank="0" text="" dxfId="3">
      <formula>0</formula>
    </cfRule>
    <cfRule type="duplicateValues" priority="6" aboveAverage="0" equalAverage="0" bottom="0" percent="0" rank="0" text="" dxfId="4">
      <formula>0</formula>
    </cfRule>
  </conditionalFormatting>
  <conditionalFormatting sqref="A166:A190">
    <cfRule type="duplicateValues" priority="7" aboveAverage="0" equalAverage="0" bottom="0" percent="0" rank="0" text="" dxfId="5">
      <formula>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  <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359"/>
  <sheetViews>
    <sheetView windowProtection="false" showFormulas="false" showGridLines="true" showRowColHeaders="true" showZeros="true" rightToLeft="false" tabSelected="false" showOutlineSymbols="true" defaultGridColor="true" view="normal" topLeftCell="A3" colorId="64" zoomScale="100" zoomScaleNormal="100" zoomScalePageLayoutView="100" workbookViewId="0">
      <selection pane="topLeft" activeCell="C22" activeCellId="0" sqref="C22"/>
    </sheetView>
  </sheetViews>
  <sheetFormatPr defaultRowHeight="15"/>
  <cols>
    <col collapsed="false" hidden="false" max="1" min="1" style="0" width="36.7408906882591"/>
    <col collapsed="false" hidden="false" max="2" min="2" style="0" width="31.5991902834008"/>
    <col collapsed="false" hidden="false" max="3" min="3" style="0" width="17.6761133603239"/>
    <col collapsed="false" hidden="false" max="4" min="4" style="0" width="13.3886639676113"/>
    <col collapsed="false" hidden="false" max="5" min="5" style="0" width="28.2793522267206"/>
    <col collapsed="false" hidden="false" max="1025" min="6" style="0" width="11.4615384615385"/>
  </cols>
  <sheetData>
    <row r="1" customFormat="false" ht="15" hidden="false" customHeight="false" outlineLevel="0" collapsed="false">
      <c r="A1" s="21" t="s">
        <v>123</v>
      </c>
      <c r="B1" s="22"/>
      <c r="C1" s="23"/>
      <c r="D1" s="23"/>
      <c r="E1" s="23"/>
      <c r="F1" s="23"/>
      <c r="G1" s="23"/>
      <c r="H1" s="23"/>
    </row>
    <row r="2" customFormat="false" ht="15" hidden="false" customHeight="false" outlineLevel="0" collapsed="false">
      <c r="A2" s="21" t="s">
        <v>124</v>
      </c>
      <c r="B2" s="24"/>
      <c r="C2" s="23"/>
      <c r="D2" s="23"/>
      <c r="E2" s="23"/>
      <c r="F2" s="23"/>
      <c r="G2" s="23"/>
      <c r="H2" s="23"/>
    </row>
    <row r="3" customFormat="false" ht="15" hidden="false" customHeight="false" outlineLevel="0" collapsed="false">
      <c r="A3" s="21" t="s">
        <v>125</v>
      </c>
      <c r="B3" s="22" t="s">
        <v>126</v>
      </c>
      <c r="C3" s="22"/>
      <c r="D3" s="22"/>
      <c r="E3" s="22"/>
      <c r="F3" s="22"/>
      <c r="G3" s="22"/>
      <c r="H3" s="22"/>
    </row>
    <row r="4" customFormat="false" ht="15" hidden="false" customHeight="false" outlineLevel="0" collapsed="false">
      <c r="A4" s="21" t="s">
        <v>127</v>
      </c>
      <c r="B4" s="22" t="s">
        <v>126</v>
      </c>
      <c r="C4" s="22"/>
      <c r="D4" s="22"/>
      <c r="E4" s="22"/>
      <c r="F4" s="22"/>
      <c r="G4" s="22"/>
      <c r="H4" s="22"/>
    </row>
    <row r="5" customFormat="false" ht="15" hidden="false" customHeight="false" outlineLevel="0" collapsed="false">
      <c r="A5" s="21" t="s">
        <v>128</v>
      </c>
      <c r="B5" s="22"/>
      <c r="C5" s="25"/>
      <c r="D5" s="25"/>
      <c r="E5" s="25"/>
      <c r="F5" s="25"/>
      <c r="G5" s="25"/>
      <c r="H5" s="25"/>
    </row>
    <row r="6" customFormat="false" ht="15" hidden="false" customHeight="false" outlineLevel="0" collapsed="false">
      <c r="A6" s="21" t="s">
        <v>129</v>
      </c>
      <c r="B6" s="26"/>
      <c r="C6" s="23"/>
      <c r="D6" s="23"/>
      <c r="E6" s="23"/>
      <c r="F6" s="23"/>
      <c r="G6" s="23"/>
      <c r="H6" s="23"/>
    </row>
    <row r="7" customFormat="false" ht="15" hidden="false" customHeight="false" outlineLevel="0" collapsed="false">
      <c r="A7" s="21" t="s">
        <v>130</v>
      </c>
      <c r="B7" s="22"/>
      <c r="C7" s="23"/>
      <c r="D7" s="23"/>
      <c r="E7" s="23"/>
      <c r="F7" s="23"/>
      <c r="G7" s="23"/>
      <c r="H7" s="23"/>
    </row>
    <row r="10" customFormat="false" ht="15" hidden="false" customHeight="false" outlineLevel="0" collapsed="false">
      <c r="A10" s="27" t="s">
        <v>43</v>
      </c>
      <c r="B10" s="27"/>
      <c r="C10" s="27"/>
      <c r="D10" s="27"/>
    </row>
    <row r="11" customFormat="false" ht="15" hidden="false" customHeight="false" outlineLevel="0" collapsed="false">
      <c r="A11" s="27" t="s">
        <v>131</v>
      </c>
      <c r="B11" s="27"/>
      <c r="C11" s="28" t="n">
        <v>0</v>
      </c>
      <c r="D11" s="28"/>
    </row>
    <row r="12" customFormat="false" ht="15.75" hidden="false" customHeight="true" outlineLevel="0" collapsed="false">
      <c r="A12" s="29" t="s">
        <v>132</v>
      </c>
      <c r="B12" s="29"/>
      <c r="C12" s="30" t="n">
        <f aca="false">C39</f>
        <v>18</v>
      </c>
      <c r="D12" s="31" t="n">
        <v>1</v>
      </c>
    </row>
    <row r="13" customFormat="false" ht="15" hidden="false" customHeight="false" outlineLevel="0" collapsed="false">
      <c r="A13" s="32" t="s">
        <v>133</v>
      </c>
      <c r="B13" s="32" t="s">
        <v>134</v>
      </c>
      <c r="C13" s="33" t="s">
        <v>135</v>
      </c>
      <c r="D13" s="34" t="s">
        <v>136</v>
      </c>
      <c r="E13" s="34" t="s">
        <v>137</v>
      </c>
    </row>
    <row r="14" customFormat="false" ht="15" hidden="false" customHeight="true" outlineLevel="0" collapsed="false">
      <c r="A14" s="35" t="s">
        <v>138</v>
      </c>
      <c r="B14" s="36" t="s">
        <v>139</v>
      </c>
      <c r="C14" s="37" t="n">
        <v>2</v>
      </c>
      <c r="D14" s="38" t="n">
        <f aca="false">C14/C12*D12</f>
        <v>0.111111111111111</v>
      </c>
      <c r="E14" s="39" t="n">
        <f aca="false">SUM(D14:D22)</f>
        <v>0.166666666666667</v>
      </c>
    </row>
    <row r="15" customFormat="false" ht="15" hidden="false" customHeight="false" outlineLevel="0" collapsed="false">
      <c r="A15" s="35"/>
      <c r="B15" s="36" t="s">
        <v>140</v>
      </c>
      <c r="C15" s="37" t="n">
        <v>0</v>
      </c>
      <c r="D15" s="38" t="n">
        <f aca="false">C15/C12*D12</f>
        <v>0</v>
      </c>
      <c r="E15" s="39"/>
    </row>
    <row r="16" customFormat="false" ht="25.5" hidden="false" customHeight="false" outlineLevel="0" collapsed="false">
      <c r="A16" s="35"/>
      <c r="B16" s="36" t="s">
        <v>106</v>
      </c>
      <c r="C16" s="37" t="n">
        <v>1</v>
      </c>
      <c r="D16" s="38" t="n">
        <f aca="false">C16/C12*D12</f>
        <v>0.0555555555555556</v>
      </c>
      <c r="E16" s="39"/>
    </row>
    <row r="17" customFormat="false" ht="15" hidden="false" customHeight="false" outlineLevel="0" collapsed="false">
      <c r="A17" s="35"/>
      <c r="B17" s="36" t="s">
        <v>141</v>
      </c>
      <c r="C17" s="37" t="n">
        <v>0</v>
      </c>
      <c r="D17" s="38" t="n">
        <f aca="false">C17/C12*D12</f>
        <v>0</v>
      </c>
      <c r="E17" s="39"/>
    </row>
    <row r="18" customFormat="false" ht="15" hidden="false" customHeight="false" outlineLevel="0" collapsed="false">
      <c r="A18" s="35"/>
      <c r="B18" s="36" t="s">
        <v>142</v>
      </c>
      <c r="C18" s="37" t="n">
        <v>0</v>
      </c>
      <c r="D18" s="38" t="n">
        <f aca="false">C18/C12*D12</f>
        <v>0</v>
      </c>
      <c r="E18" s="39"/>
    </row>
    <row r="19" customFormat="false" ht="15" hidden="false" customHeight="false" outlineLevel="0" collapsed="false">
      <c r="A19" s="35"/>
      <c r="B19" s="36" t="s">
        <v>143</v>
      </c>
      <c r="C19" s="37" t="n">
        <v>0</v>
      </c>
      <c r="D19" s="38" t="n">
        <f aca="false">C19/C12*D12</f>
        <v>0</v>
      </c>
      <c r="E19" s="39"/>
    </row>
    <row r="20" customFormat="false" ht="15" hidden="false" customHeight="false" outlineLevel="0" collapsed="false">
      <c r="A20" s="35"/>
      <c r="B20" s="36" t="s">
        <v>144</v>
      </c>
      <c r="C20" s="37" t="n">
        <v>0</v>
      </c>
      <c r="D20" s="38" t="n">
        <f aca="false">C20/C12*D12</f>
        <v>0</v>
      </c>
      <c r="E20" s="39"/>
    </row>
    <row r="21" customFormat="false" ht="15" hidden="false" customHeight="false" outlineLevel="0" collapsed="false">
      <c r="A21" s="35"/>
      <c r="B21" s="36" t="s">
        <v>145</v>
      </c>
      <c r="C21" s="37" t="n">
        <v>0</v>
      </c>
      <c r="D21" s="38" t="n">
        <f aca="false">C21/C12*D12</f>
        <v>0</v>
      </c>
      <c r="E21" s="39"/>
    </row>
    <row r="22" customFormat="false" ht="25.5" hidden="false" customHeight="false" outlineLevel="0" collapsed="false">
      <c r="A22" s="35"/>
      <c r="B22" s="36" t="s">
        <v>146</v>
      </c>
      <c r="C22" s="37" t="n">
        <v>0</v>
      </c>
      <c r="D22" s="38" t="n">
        <f aca="false">C22/C12*D12</f>
        <v>0</v>
      </c>
      <c r="E22" s="39"/>
    </row>
    <row r="23" customFormat="false" ht="38.25" hidden="false" customHeight="false" outlineLevel="0" collapsed="false">
      <c r="A23" s="40" t="s">
        <v>80</v>
      </c>
      <c r="B23" s="36" t="s">
        <v>147</v>
      </c>
      <c r="C23" s="37" t="n">
        <v>1</v>
      </c>
      <c r="D23" s="38" t="n">
        <f aca="false">C23/C12*D12</f>
        <v>0.0555555555555556</v>
      </c>
      <c r="E23" s="39" t="n">
        <f aca="false">SUM(D23:D25)</f>
        <v>0.166666666666667</v>
      </c>
    </row>
    <row r="24" customFormat="false" ht="25.5" hidden="false" customHeight="false" outlineLevel="0" collapsed="false">
      <c r="A24" s="40"/>
      <c r="B24" s="36" t="s">
        <v>148</v>
      </c>
      <c r="C24" s="37" t="n">
        <v>0</v>
      </c>
      <c r="D24" s="38" t="n">
        <f aca="false">C24/C12*D12</f>
        <v>0</v>
      </c>
      <c r="E24" s="39"/>
    </row>
    <row r="25" customFormat="false" ht="15" hidden="false" customHeight="false" outlineLevel="0" collapsed="false">
      <c r="A25" s="40"/>
      <c r="B25" s="36" t="s">
        <v>79</v>
      </c>
      <c r="C25" s="37" t="n">
        <v>2</v>
      </c>
      <c r="D25" s="38" t="n">
        <f aca="false">C25/C12*D12</f>
        <v>0.111111111111111</v>
      </c>
      <c r="E25" s="39"/>
    </row>
    <row r="26" customFormat="false" ht="15" hidden="false" customHeight="false" outlineLevel="0" collapsed="false">
      <c r="A26" s="41" t="s">
        <v>121</v>
      </c>
      <c r="B26" s="36" t="s">
        <v>149</v>
      </c>
      <c r="C26" s="37" t="n">
        <v>0</v>
      </c>
      <c r="D26" s="38" t="n">
        <f aca="false">C26/C12*D12</f>
        <v>0</v>
      </c>
      <c r="E26" s="39" t="n">
        <f aca="false">SUM(D26:D27)</f>
        <v>0.166666666666667</v>
      </c>
    </row>
    <row r="27" customFormat="false" ht="38.25" hidden="false" customHeight="true" outlineLevel="0" collapsed="false">
      <c r="A27" s="41"/>
      <c r="B27" s="36" t="s">
        <v>120</v>
      </c>
      <c r="C27" s="37" t="n">
        <v>3</v>
      </c>
      <c r="D27" s="38" t="n">
        <f aca="false">C27/C12*D12</f>
        <v>0.166666666666667</v>
      </c>
      <c r="E27" s="39"/>
    </row>
    <row r="28" customFormat="false" ht="25.5" hidden="false" customHeight="true" outlineLevel="0" collapsed="false">
      <c r="A28" s="42" t="s">
        <v>150</v>
      </c>
      <c r="B28" s="36" t="s">
        <v>95</v>
      </c>
      <c r="C28" s="37" t="n">
        <v>7</v>
      </c>
      <c r="D28" s="38" t="n">
        <f aca="false">C28/C12*D12</f>
        <v>0.388888888888889</v>
      </c>
      <c r="E28" s="39" t="n">
        <f aca="false">SUM(D28:D31)</f>
        <v>0.444444444444444</v>
      </c>
    </row>
    <row r="29" customFormat="false" ht="36.75" hidden="false" customHeight="true" outlineLevel="0" collapsed="false">
      <c r="A29" s="42"/>
      <c r="B29" s="36" t="s">
        <v>151</v>
      </c>
      <c r="C29" s="37" t="n">
        <v>0</v>
      </c>
      <c r="D29" s="38" t="n">
        <f aca="false">C29/C12*D12</f>
        <v>0</v>
      </c>
      <c r="E29" s="39"/>
    </row>
    <row r="30" customFormat="false" ht="15" hidden="false" customHeight="false" outlineLevel="0" collapsed="false">
      <c r="A30" s="42"/>
      <c r="B30" s="36" t="s">
        <v>152</v>
      </c>
      <c r="C30" s="37" t="n">
        <v>0</v>
      </c>
      <c r="D30" s="38" t="n">
        <f aca="false">C30/C12*D12</f>
        <v>0</v>
      </c>
      <c r="E30" s="39"/>
    </row>
    <row r="31" customFormat="false" ht="30" hidden="false" customHeight="true" outlineLevel="0" collapsed="false">
      <c r="A31" s="42"/>
      <c r="B31" s="36" t="s">
        <v>153</v>
      </c>
      <c r="C31" s="37" t="n">
        <v>1</v>
      </c>
      <c r="D31" s="38" t="n">
        <f aca="false">C31/C12*D12</f>
        <v>0.0555555555555556</v>
      </c>
      <c r="E31" s="39"/>
    </row>
    <row r="32" customFormat="false" ht="42.75" hidden="false" customHeight="true" outlineLevel="0" collapsed="false">
      <c r="A32" s="42" t="s">
        <v>154</v>
      </c>
      <c r="B32" s="36" t="s">
        <v>155</v>
      </c>
      <c r="C32" s="37" t="n">
        <v>0</v>
      </c>
      <c r="D32" s="38" t="n">
        <f aca="false">C32/C12*D12</f>
        <v>0</v>
      </c>
      <c r="E32" s="39" t="n">
        <f aca="false">SUM(D32)</f>
        <v>0</v>
      </c>
    </row>
    <row r="33" customFormat="false" ht="27" hidden="false" customHeight="true" outlineLevel="0" collapsed="false">
      <c r="A33" s="40" t="s">
        <v>156</v>
      </c>
      <c r="B33" s="36" t="s">
        <v>157</v>
      </c>
      <c r="C33" s="37" t="n">
        <v>1</v>
      </c>
      <c r="D33" s="38" t="n">
        <f aca="false">C33/C12*D12</f>
        <v>0.0555555555555556</v>
      </c>
      <c r="E33" s="39" t="n">
        <f aca="false">SUM(D33:D38)</f>
        <v>0.0555555555555556</v>
      </c>
    </row>
    <row r="34" customFormat="false" ht="18.75" hidden="false" customHeight="true" outlineLevel="0" collapsed="false">
      <c r="A34" s="40"/>
      <c r="B34" s="36" t="s">
        <v>158</v>
      </c>
      <c r="C34" s="37" t="n">
        <v>0</v>
      </c>
      <c r="D34" s="38" t="n">
        <f aca="false">C34/C12*D12</f>
        <v>0</v>
      </c>
      <c r="E34" s="39"/>
    </row>
    <row r="35" customFormat="false" ht="15" hidden="false" customHeight="false" outlineLevel="0" collapsed="false">
      <c r="A35" s="40"/>
      <c r="B35" s="36" t="s">
        <v>159</v>
      </c>
      <c r="C35" s="37" t="n">
        <v>0</v>
      </c>
      <c r="D35" s="38" t="n">
        <f aca="false">C35/C12*D12</f>
        <v>0</v>
      </c>
      <c r="E35" s="39"/>
    </row>
    <row r="36" customFormat="false" ht="21.75" hidden="false" customHeight="true" outlineLevel="0" collapsed="false">
      <c r="A36" s="40"/>
      <c r="B36" s="36" t="s">
        <v>160</v>
      </c>
      <c r="C36" s="37" t="n">
        <v>0</v>
      </c>
      <c r="D36" s="38" t="n">
        <f aca="false">C36/C12*D12</f>
        <v>0</v>
      </c>
      <c r="E36" s="39"/>
    </row>
    <row r="37" customFormat="false" ht="21.75" hidden="false" customHeight="true" outlineLevel="0" collapsed="false">
      <c r="A37" s="40"/>
      <c r="B37" s="36" t="s">
        <v>161</v>
      </c>
      <c r="C37" s="37" t="n">
        <v>0</v>
      </c>
      <c r="D37" s="38" t="n">
        <f aca="false">C37/C12*D12</f>
        <v>0</v>
      </c>
      <c r="E37" s="39"/>
    </row>
    <row r="38" customFormat="false" ht="16.5" hidden="false" customHeight="true" outlineLevel="0" collapsed="false">
      <c r="A38" s="40"/>
      <c r="B38" s="36" t="s">
        <v>162</v>
      </c>
      <c r="C38" s="37" t="n">
        <v>0</v>
      </c>
      <c r="D38" s="38" t="n">
        <f aca="false">C38/C12*D12</f>
        <v>0</v>
      </c>
      <c r="E38" s="39"/>
    </row>
    <row r="39" customFormat="false" ht="15" hidden="false" customHeight="false" outlineLevel="0" collapsed="false">
      <c r="A39" s="43" t="s">
        <v>163</v>
      </c>
      <c r="B39" s="43"/>
      <c r="C39" s="44" t="n">
        <f aca="false">SUM(C14:C38)</f>
        <v>18</v>
      </c>
      <c r="D39" s="38" t="n">
        <f aca="false">+C39/C12*D12</f>
        <v>1</v>
      </c>
      <c r="E39" s="39" t="n">
        <f aca="false">SUM(E14:E33)</f>
        <v>1</v>
      </c>
    </row>
    <row r="42" customFormat="false" ht="15" hidden="false" customHeight="false" outlineLevel="0" collapsed="false">
      <c r="A42" s="27" t="s">
        <v>164</v>
      </c>
      <c r="B42" s="27"/>
      <c r="C42" s="27"/>
      <c r="D42" s="27"/>
    </row>
    <row r="43" customFormat="false" ht="15" hidden="false" customHeight="false" outlineLevel="0" collapsed="false">
      <c r="A43" s="27" t="s">
        <v>131</v>
      </c>
      <c r="B43" s="27"/>
      <c r="C43" s="28" t="n">
        <v>0</v>
      </c>
      <c r="D43" s="28"/>
    </row>
    <row r="44" customFormat="false" ht="15.75" hidden="false" customHeight="true" outlineLevel="0" collapsed="false">
      <c r="A44" s="29" t="s">
        <v>132</v>
      </c>
      <c r="B44" s="29"/>
      <c r="C44" s="30" t="n">
        <f aca="false">C71</f>
        <v>42</v>
      </c>
      <c r="D44" s="31" t="n">
        <v>1</v>
      </c>
    </row>
    <row r="45" customFormat="false" ht="15" hidden="false" customHeight="false" outlineLevel="0" collapsed="false">
      <c r="A45" s="32" t="s">
        <v>133</v>
      </c>
      <c r="B45" s="32" t="s">
        <v>134</v>
      </c>
      <c r="C45" s="33" t="s">
        <v>135</v>
      </c>
      <c r="D45" s="34" t="s">
        <v>136</v>
      </c>
      <c r="E45" s="34" t="s">
        <v>137</v>
      </c>
    </row>
    <row r="46" customFormat="false" ht="15" hidden="false" customHeight="true" outlineLevel="0" collapsed="false">
      <c r="A46" s="35" t="s">
        <v>138</v>
      </c>
      <c r="B46" s="36" t="s">
        <v>139</v>
      </c>
      <c r="C46" s="37" t="n">
        <v>0</v>
      </c>
      <c r="D46" s="38" t="n">
        <f aca="false">C46/C44*D44</f>
        <v>0</v>
      </c>
      <c r="E46" s="39" t="n">
        <f aca="false">SUM(D46:D54)</f>
        <v>0.0238095238095238</v>
      </c>
    </row>
    <row r="47" customFormat="false" ht="21" hidden="false" customHeight="true" outlineLevel="0" collapsed="false">
      <c r="A47" s="35"/>
      <c r="B47" s="36" t="s">
        <v>140</v>
      </c>
      <c r="C47" s="37" t="n">
        <v>0</v>
      </c>
      <c r="D47" s="38" t="n">
        <f aca="false">C47/C44*D44</f>
        <v>0</v>
      </c>
      <c r="E47" s="39"/>
    </row>
    <row r="48" customFormat="false" ht="23.25" hidden="false" customHeight="true" outlineLevel="0" collapsed="false">
      <c r="A48" s="35"/>
      <c r="B48" s="36" t="s">
        <v>106</v>
      </c>
      <c r="C48" s="37" t="n">
        <v>0</v>
      </c>
      <c r="D48" s="38" t="n">
        <f aca="false">C48/C44*D44</f>
        <v>0</v>
      </c>
      <c r="E48" s="39"/>
    </row>
    <row r="49" customFormat="false" ht="29.25" hidden="false" customHeight="true" outlineLevel="0" collapsed="false">
      <c r="A49" s="35"/>
      <c r="B49" s="36" t="s">
        <v>141</v>
      </c>
      <c r="C49" s="37" t="n">
        <v>0</v>
      </c>
      <c r="D49" s="38" t="n">
        <f aca="false">C49/C44*D44</f>
        <v>0</v>
      </c>
      <c r="E49" s="39"/>
    </row>
    <row r="50" customFormat="false" ht="21" hidden="false" customHeight="true" outlineLevel="0" collapsed="false">
      <c r="A50" s="35"/>
      <c r="B50" s="36" t="s">
        <v>142</v>
      </c>
      <c r="C50" s="37" t="n">
        <v>0</v>
      </c>
      <c r="D50" s="38" t="n">
        <f aca="false">C50/C44*D44</f>
        <v>0</v>
      </c>
      <c r="E50" s="39"/>
    </row>
    <row r="51" customFormat="false" ht="17.25" hidden="false" customHeight="true" outlineLevel="0" collapsed="false">
      <c r="A51" s="35"/>
      <c r="B51" s="36" t="s">
        <v>143</v>
      </c>
      <c r="C51" s="37" t="n">
        <v>0</v>
      </c>
      <c r="D51" s="38" t="n">
        <f aca="false">C51/C44*D44</f>
        <v>0</v>
      </c>
      <c r="E51" s="39"/>
    </row>
    <row r="52" customFormat="false" ht="21" hidden="false" customHeight="true" outlineLevel="0" collapsed="false">
      <c r="A52" s="35"/>
      <c r="B52" s="36" t="s">
        <v>144</v>
      </c>
      <c r="C52" s="37" t="n">
        <v>0</v>
      </c>
      <c r="D52" s="38" t="n">
        <f aca="false">C52/C44*D44</f>
        <v>0</v>
      </c>
      <c r="E52" s="39"/>
    </row>
    <row r="53" customFormat="false" ht="21" hidden="false" customHeight="true" outlineLevel="0" collapsed="false">
      <c r="A53" s="35"/>
      <c r="B53" s="36" t="s">
        <v>145</v>
      </c>
      <c r="C53" s="37" t="n">
        <v>0</v>
      </c>
      <c r="D53" s="38" t="n">
        <f aca="false">C53/C44*D44</f>
        <v>0</v>
      </c>
      <c r="E53" s="39"/>
    </row>
    <row r="54" customFormat="false" ht="27" hidden="false" customHeight="true" outlineLevel="0" collapsed="false">
      <c r="A54" s="35"/>
      <c r="B54" s="36" t="s">
        <v>146</v>
      </c>
      <c r="C54" s="37" t="n">
        <v>1</v>
      </c>
      <c r="D54" s="38" t="n">
        <f aca="false">C54/C44*D44</f>
        <v>0.0238095238095238</v>
      </c>
      <c r="E54" s="39"/>
    </row>
    <row r="55" customFormat="false" ht="44.25" hidden="false" customHeight="true" outlineLevel="0" collapsed="false">
      <c r="A55" s="40" t="s">
        <v>80</v>
      </c>
      <c r="B55" s="36" t="s">
        <v>147</v>
      </c>
      <c r="C55" s="37" t="n">
        <v>0</v>
      </c>
      <c r="D55" s="38" t="n">
        <f aca="false">C55/C44*D44</f>
        <v>0</v>
      </c>
      <c r="E55" s="39" t="n">
        <f aca="false">SUM(D55:D57)</f>
        <v>0.0476190476190476</v>
      </c>
    </row>
    <row r="56" customFormat="false" ht="31.5" hidden="false" customHeight="true" outlineLevel="0" collapsed="false">
      <c r="A56" s="40"/>
      <c r="B56" s="36" t="s">
        <v>148</v>
      </c>
      <c r="C56" s="37" t="n">
        <v>0</v>
      </c>
      <c r="D56" s="38" t="n">
        <f aca="false">C56/C44*D44</f>
        <v>0</v>
      </c>
      <c r="E56" s="39"/>
    </row>
    <row r="57" customFormat="false" ht="21.75" hidden="false" customHeight="true" outlineLevel="0" collapsed="false">
      <c r="A57" s="40"/>
      <c r="B57" s="36" t="s">
        <v>79</v>
      </c>
      <c r="C57" s="37" t="n">
        <v>2</v>
      </c>
      <c r="D57" s="38" t="n">
        <f aca="false">C57/C44*D44</f>
        <v>0.0476190476190476</v>
      </c>
      <c r="E57" s="39"/>
    </row>
    <row r="58" customFormat="false" ht="15" hidden="false" customHeight="false" outlineLevel="0" collapsed="false">
      <c r="A58" s="41" t="s">
        <v>121</v>
      </c>
      <c r="B58" s="36" t="s">
        <v>149</v>
      </c>
      <c r="C58" s="37" t="n">
        <v>0</v>
      </c>
      <c r="D58" s="38" t="n">
        <f aca="false">C58/C44*D44</f>
        <v>0</v>
      </c>
      <c r="E58" s="39" t="n">
        <f aca="false">SUM(D58:D59)</f>
        <v>0.285714285714286</v>
      </c>
    </row>
    <row r="59" customFormat="false" ht="33.75" hidden="false" customHeight="true" outlineLevel="0" collapsed="false">
      <c r="A59" s="41"/>
      <c r="B59" s="36" t="s">
        <v>120</v>
      </c>
      <c r="C59" s="37" t="n">
        <v>12</v>
      </c>
      <c r="D59" s="38" t="n">
        <f aca="false">C59/C44*D44</f>
        <v>0.285714285714286</v>
      </c>
      <c r="E59" s="39"/>
    </row>
    <row r="60" customFormat="false" ht="30" hidden="false" customHeight="true" outlineLevel="0" collapsed="false">
      <c r="A60" s="42" t="s">
        <v>150</v>
      </c>
      <c r="B60" s="36" t="s">
        <v>95</v>
      </c>
      <c r="C60" s="37" t="n">
        <v>6</v>
      </c>
      <c r="D60" s="38" t="n">
        <f aca="false">C60/C44*D44</f>
        <v>0.142857142857143</v>
      </c>
      <c r="E60" s="39" t="n">
        <f aca="false">SUM(D60:D63)</f>
        <v>0.166666666666667</v>
      </c>
    </row>
    <row r="61" customFormat="false" ht="24.75" hidden="false" customHeight="true" outlineLevel="0" collapsed="false">
      <c r="A61" s="42"/>
      <c r="B61" s="36" t="s">
        <v>151</v>
      </c>
      <c r="C61" s="37" t="n">
        <v>0</v>
      </c>
      <c r="D61" s="38" t="n">
        <f aca="false">C61/C44*D44</f>
        <v>0</v>
      </c>
      <c r="E61" s="39"/>
    </row>
    <row r="62" customFormat="false" ht="15" hidden="false" customHeight="false" outlineLevel="0" collapsed="false">
      <c r="A62" s="42"/>
      <c r="B62" s="36" t="s">
        <v>152</v>
      </c>
      <c r="C62" s="37" t="n">
        <v>0</v>
      </c>
      <c r="D62" s="38" t="n">
        <f aca="false">C62/C44*D44</f>
        <v>0</v>
      </c>
      <c r="E62" s="39"/>
    </row>
    <row r="63" customFormat="false" ht="36.75" hidden="false" customHeight="true" outlineLevel="0" collapsed="false">
      <c r="A63" s="42"/>
      <c r="B63" s="36" t="s">
        <v>153</v>
      </c>
      <c r="C63" s="37" t="n">
        <v>1</v>
      </c>
      <c r="D63" s="38" t="n">
        <f aca="false">C63/C44*D44</f>
        <v>0.0238095238095238</v>
      </c>
      <c r="E63" s="39"/>
    </row>
    <row r="64" customFormat="false" ht="33.75" hidden="false" customHeight="true" outlineLevel="0" collapsed="false">
      <c r="A64" s="42" t="s">
        <v>154</v>
      </c>
      <c r="B64" s="36" t="s">
        <v>155</v>
      </c>
      <c r="C64" s="37" t="n">
        <v>17</v>
      </c>
      <c r="D64" s="38" t="n">
        <f aca="false">C64/C44*D44</f>
        <v>0.404761904761905</v>
      </c>
      <c r="E64" s="39" t="n">
        <f aca="false">SUM(D64)</f>
        <v>0.404761904761905</v>
      </c>
    </row>
    <row r="65" customFormat="false" ht="21" hidden="false" customHeight="true" outlineLevel="0" collapsed="false">
      <c r="A65" s="40" t="s">
        <v>156</v>
      </c>
      <c r="B65" s="36" t="s">
        <v>157</v>
      </c>
      <c r="C65" s="37" t="n">
        <v>1</v>
      </c>
      <c r="D65" s="38" t="n">
        <f aca="false">C65/C44*D44</f>
        <v>0.0238095238095238</v>
      </c>
      <c r="E65" s="39" t="n">
        <f aca="false">SUM(D65:D70)</f>
        <v>0.0714285714285714</v>
      </c>
    </row>
    <row r="66" customFormat="false" ht="15" hidden="false" customHeight="false" outlineLevel="0" collapsed="false">
      <c r="A66" s="40"/>
      <c r="B66" s="36" t="s">
        <v>158</v>
      </c>
      <c r="C66" s="37" t="n">
        <v>0</v>
      </c>
      <c r="D66" s="38" t="n">
        <f aca="false">C66/C44*D44</f>
        <v>0</v>
      </c>
      <c r="E66" s="39"/>
    </row>
    <row r="67" customFormat="false" ht="17.25" hidden="false" customHeight="true" outlineLevel="0" collapsed="false">
      <c r="A67" s="40"/>
      <c r="B67" s="36" t="s">
        <v>159</v>
      </c>
      <c r="C67" s="37" t="n">
        <v>0</v>
      </c>
      <c r="D67" s="38" t="n">
        <f aca="false">C67/C44*D44</f>
        <v>0</v>
      </c>
      <c r="E67" s="39"/>
    </row>
    <row r="68" customFormat="false" ht="17.25" hidden="false" customHeight="true" outlineLevel="0" collapsed="false">
      <c r="A68" s="40"/>
      <c r="B68" s="36" t="s">
        <v>160</v>
      </c>
      <c r="C68" s="37" t="n">
        <v>0</v>
      </c>
      <c r="D68" s="38" t="n">
        <f aca="false">C68/C44*D44</f>
        <v>0</v>
      </c>
      <c r="E68" s="39"/>
    </row>
    <row r="69" customFormat="false" ht="21.75" hidden="false" customHeight="true" outlineLevel="0" collapsed="false">
      <c r="A69" s="40"/>
      <c r="B69" s="36" t="s">
        <v>161</v>
      </c>
      <c r="C69" s="37" t="n">
        <v>2</v>
      </c>
      <c r="D69" s="38" t="n">
        <f aca="false">C69/C44*D44</f>
        <v>0.0476190476190476</v>
      </c>
      <c r="E69" s="39"/>
    </row>
    <row r="70" customFormat="false" ht="19.5" hidden="false" customHeight="true" outlineLevel="0" collapsed="false">
      <c r="A70" s="40"/>
      <c r="B70" s="36" t="s">
        <v>162</v>
      </c>
      <c r="C70" s="37" t="n">
        <v>0</v>
      </c>
      <c r="D70" s="38" t="n">
        <f aca="false">C70/C44*D44</f>
        <v>0</v>
      </c>
      <c r="E70" s="39"/>
    </row>
    <row r="71" customFormat="false" ht="15" hidden="false" customHeight="false" outlineLevel="0" collapsed="false">
      <c r="A71" s="43" t="s">
        <v>163</v>
      </c>
      <c r="B71" s="43"/>
      <c r="C71" s="44" t="n">
        <f aca="false">SUM(C46:C70)</f>
        <v>42</v>
      </c>
      <c r="D71" s="38" t="n">
        <f aca="false">+C71/C44*D44</f>
        <v>1</v>
      </c>
      <c r="E71" s="39" t="n">
        <f aca="false">SUM(E46:E65)</f>
        <v>1</v>
      </c>
    </row>
    <row r="74" customFormat="false" ht="15" hidden="false" customHeight="false" outlineLevel="0" collapsed="false">
      <c r="A74" s="27" t="s">
        <v>165</v>
      </c>
      <c r="B74" s="27"/>
      <c r="C74" s="27"/>
      <c r="D74" s="27"/>
    </row>
    <row r="75" customFormat="false" ht="15" hidden="false" customHeight="false" outlineLevel="0" collapsed="false">
      <c r="A75" s="27" t="s">
        <v>131</v>
      </c>
      <c r="B75" s="27"/>
      <c r="C75" s="28" t="n">
        <v>0</v>
      </c>
      <c r="D75" s="28"/>
    </row>
    <row r="76" customFormat="false" ht="15.75" hidden="false" customHeight="true" outlineLevel="0" collapsed="false">
      <c r="A76" s="29" t="s">
        <v>132</v>
      </c>
      <c r="B76" s="29"/>
      <c r="C76" s="30" t="n">
        <f aca="false">C103</f>
        <v>18</v>
      </c>
      <c r="D76" s="31" t="n">
        <v>1</v>
      </c>
    </row>
    <row r="77" customFormat="false" ht="15" hidden="false" customHeight="false" outlineLevel="0" collapsed="false">
      <c r="A77" s="32" t="s">
        <v>133</v>
      </c>
      <c r="B77" s="32" t="s">
        <v>134</v>
      </c>
      <c r="C77" s="33" t="s">
        <v>135</v>
      </c>
      <c r="D77" s="34" t="s">
        <v>136</v>
      </c>
      <c r="E77" s="34" t="s">
        <v>137</v>
      </c>
    </row>
    <row r="78" customFormat="false" ht="15" hidden="false" customHeight="true" outlineLevel="0" collapsed="false">
      <c r="A78" s="35" t="s">
        <v>138</v>
      </c>
      <c r="B78" s="36" t="s">
        <v>139</v>
      </c>
      <c r="C78" s="37" t="n">
        <v>0</v>
      </c>
      <c r="D78" s="38" t="n">
        <f aca="false">C78/C76*D76</f>
        <v>0</v>
      </c>
      <c r="E78" s="39" t="n">
        <f aca="false">SUM(D78:D86)</f>
        <v>0.0555555555555556</v>
      </c>
    </row>
    <row r="79" customFormat="false" ht="15" hidden="false" customHeight="false" outlineLevel="0" collapsed="false">
      <c r="A79" s="35"/>
      <c r="B79" s="36" t="s">
        <v>140</v>
      </c>
      <c r="C79" s="37" t="n">
        <v>0</v>
      </c>
      <c r="D79" s="38" t="n">
        <f aca="false">C79/C76*D76</f>
        <v>0</v>
      </c>
      <c r="E79" s="39"/>
    </row>
    <row r="80" customFormat="false" ht="25.5" hidden="false" customHeight="false" outlineLevel="0" collapsed="false">
      <c r="A80" s="35"/>
      <c r="B80" s="36" t="s">
        <v>106</v>
      </c>
      <c r="C80" s="37" t="n">
        <v>0</v>
      </c>
      <c r="D80" s="38" t="n">
        <f aca="false">C80/C76*D76</f>
        <v>0</v>
      </c>
      <c r="E80" s="39"/>
    </row>
    <row r="81" customFormat="false" ht="15" hidden="false" customHeight="false" outlineLevel="0" collapsed="false">
      <c r="A81" s="35"/>
      <c r="B81" s="36" t="s">
        <v>141</v>
      </c>
      <c r="C81" s="37" t="n">
        <v>0</v>
      </c>
      <c r="D81" s="38" t="n">
        <f aca="false">C81/C76*D76</f>
        <v>0</v>
      </c>
      <c r="E81" s="39"/>
    </row>
    <row r="82" customFormat="false" ht="15" hidden="false" customHeight="false" outlineLevel="0" collapsed="false">
      <c r="A82" s="35"/>
      <c r="B82" s="36" t="s">
        <v>142</v>
      </c>
      <c r="C82" s="37" t="n">
        <v>0</v>
      </c>
      <c r="D82" s="38" t="n">
        <f aca="false">C82/C76*D76</f>
        <v>0</v>
      </c>
      <c r="E82" s="39"/>
    </row>
    <row r="83" customFormat="false" ht="15" hidden="false" customHeight="false" outlineLevel="0" collapsed="false">
      <c r="A83" s="35"/>
      <c r="B83" s="36" t="s">
        <v>143</v>
      </c>
      <c r="C83" s="37" t="n">
        <v>0</v>
      </c>
      <c r="D83" s="38" t="n">
        <f aca="false">C83/C76*D76</f>
        <v>0</v>
      </c>
      <c r="E83" s="39"/>
    </row>
    <row r="84" customFormat="false" ht="15" hidden="false" customHeight="false" outlineLevel="0" collapsed="false">
      <c r="A84" s="35"/>
      <c r="B84" s="36" t="s">
        <v>144</v>
      </c>
      <c r="C84" s="37" t="n">
        <v>1</v>
      </c>
      <c r="D84" s="38" t="n">
        <f aca="false">C84/C76*D76</f>
        <v>0.0555555555555556</v>
      </c>
      <c r="E84" s="39"/>
    </row>
    <row r="85" customFormat="false" ht="15" hidden="false" customHeight="false" outlineLevel="0" collapsed="false">
      <c r="A85" s="35"/>
      <c r="B85" s="36" t="s">
        <v>145</v>
      </c>
      <c r="C85" s="37" t="n">
        <v>0</v>
      </c>
      <c r="D85" s="38" t="n">
        <f aca="false">C85/C76*D76</f>
        <v>0</v>
      </c>
      <c r="E85" s="39"/>
    </row>
    <row r="86" customFormat="false" ht="25.5" hidden="false" customHeight="false" outlineLevel="0" collapsed="false">
      <c r="A86" s="35"/>
      <c r="B86" s="36" t="s">
        <v>146</v>
      </c>
      <c r="C86" s="37" t="n">
        <v>0</v>
      </c>
      <c r="D86" s="38" t="n">
        <f aca="false">C86/C76*D76</f>
        <v>0</v>
      </c>
      <c r="E86" s="39"/>
    </row>
    <row r="87" customFormat="false" ht="38.25" hidden="false" customHeight="false" outlineLevel="0" collapsed="false">
      <c r="A87" s="40" t="s">
        <v>80</v>
      </c>
      <c r="B87" s="36" t="s">
        <v>147</v>
      </c>
      <c r="C87" s="37" t="n">
        <v>4</v>
      </c>
      <c r="D87" s="38" t="n">
        <f aca="false">C87/C76*D76</f>
        <v>0.222222222222222</v>
      </c>
      <c r="E87" s="39" t="n">
        <f aca="false">SUM(D87:D89)</f>
        <v>0.222222222222222</v>
      </c>
    </row>
    <row r="88" customFormat="false" ht="25.5" hidden="false" customHeight="false" outlineLevel="0" collapsed="false">
      <c r="A88" s="40"/>
      <c r="B88" s="36" t="s">
        <v>148</v>
      </c>
      <c r="C88" s="37" t="n">
        <v>0</v>
      </c>
      <c r="D88" s="38" t="n">
        <f aca="false">C88/C76*D76</f>
        <v>0</v>
      </c>
      <c r="E88" s="39"/>
    </row>
    <row r="89" customFormat="false" ht="15" hidden="false" customHeight="false" outlineLevel="0" collapsed="false">
      <c r="A89" s="40"/>
      <c r="B89" s="36" t="s">
        <v>79</v>
      </c>
      <c r="C89" s="37" t="n">
        <v>0</v>
      </c>
      <c r="D89" s="38" t="n">
        <f aca="false">C89/C76*D76</f>
        <v>0</v>
      </c>
      <c r="E89" s="39"/>
    </row>
    <row r="90" customFormat="false" ht="15" hidden="false" customHeight="false" outlineLevel="0" collapsed="false">
      <c r="A90" s="41" t="s">
        <v>121</v>
      </c>
      <c r="B90" s="36" t="s">
        <v>149</v>
      </c>
      <c r="C90" s="37" t="n">
        <v>0</v>
      </c>
      <c r="D90" s="38" t="n">
        <f aca="false">C90/C76*D76</f>
        <v>0</v>
      </c>
      <c r="E90" s="39" t="n">
        <f aca="false">SUM(D90:D91)</f>
        <v>0.5</v>
      </c>
    </row>
    <row r="91" customFormat="false" ht="25.5" hidden="false" customHeight="false" outlineLevel="0" collapsed="false">
      <c r="A91" s="41"/>
      <c r="B91" s="36" t="s">
        <v>120</v>
      </c>
      <c r="C91" s="37" t="n">
        <v>9</v>
      </c>
      <c r="D91" s="38" t="n">
        <f aca="false">C91/C76*D76</f>
        <v>0.5</v>
      </c>
      <c r="E91" s="39"/>
    </row>
    <row r="92" customFormat="false" ht="15" hidden="false" customHeight="true" outlineLevel="0" collapsed="false">
      <c r="A92" s="42" t="s">
        <v>150</v>
      </c>
      <c r="B92" s="36" t="s">
        <v>95</v>
      </c>
      <c r="C92" s="37" t="n">
        <v>2</v>
      </c>
      <c r="D92" s="38" t="n">
        <f aca="false">C92/C76*D76</f>
        <v>0.111111111111111</v>
      </c>
      <c r="E92" s="39" t="n">
        <f aca="false">SUM(D92:D95)</f>
        <v>0.111111111111111</v>
      </c>
    </row>
    <row r="93" customFormat="false" ht="25.5" hidden="false" customHeight="false" outlineLevel="0" collapsed="false">
      <c r="A93" s="42"/>
      <c r="B93" s="36" t="s">
        <v>151</v>
      </c>
      <c r="C93" s="37" t="n">
        <v>0</v>
      </c>
      <c r="D93" s="38" t="n">
        <f aca="false">C93/C76*D76</f>
        <v>0</v>
      </c>
      <c r="E93" s="39"/>
    </row>
    <row r="94" customFormat="false" ht="15" hidden="false" customHeight="false" outlineLevel="0" collapsed="false">
      <c r="A94" s="42"/>
      <c r="B94" s="36" t="s">
        <v>152</v>
      </c>
      <c r="C94" s="37" t="n">
        <v>0</v>
      </c>
      <c r="D94" s="38" t="n">
        <f aca="false">C94/C76*D76</f>
        <v>0</v>
      </c>
      <c r="E94" s="39"/>
    </row>
    <row r="95" customFormat="false" ht="25.5" hidden="false" customHeight="false" outlineLevel="0" collapsed="false">
      <c r="A95" s="42"/>
      <c r="B95" s="36" t="s">
        <v>153</v>
      </c>
      <c r="C95" s="37" t="n">
        <v>0</v>
      </c>
      <c r="D95" s="38" t="n">
        <f aca="false">C95/C76*D76</f>
        <v>0</v>
      </c>
      <c r="E95" s="39"/>
    </row>
    <row r="96" customFormat="false" ht="28.5" hidden="false" customHeight="false" outlineLevel="0" collapsed="false">
      <c r="A96" s="42" t="s">
        <v>154</v>
      </c>
      <c r="B96" s="36" t="s">
        <v>155</v>
      </c>
      <c r="C96" s="37" t="n">
        <v>0</v>
      </c>
      <c r="D96" s="38" t="n">
        <f aca="false">C96/C76*D76</f>
        <v>0</v>
      </c>
      <c r="E96" s="39" t="n">
        <f aca="false">SUM(D96)</f>
        <v>0</v>
      </c>
    </row>
    <row r="97" customFormat="false" ht="15" hidden="false" customHeight="false" outlineLevel="0" collapsed="false">
      <c r="A97" s="40" t="s">
        <v>156</v>
      </c>
      <c r="B97" s="36" t="s">
        <v>157</v>
      </c>
      <c r="C97" s="37" t="n">
        <v>2</v>
      </c>
      <c r="D97" s="38" t="n">
        <f aca="false">C97/C76*D76</f>
        <v>0.111111111111111</v>
      </c>
      <c r="E97" s="39" t="n">
        <f aca="false">SUM(D97:D102)</f>
        <v>0.111111111111111</v>
      </c>
    </row>
    <row r="98" customFormat="false" ht="15" hidden="false" customHeight="false" outlineLevel="0" collapsed="false">
      <c r="A98" s="40"/>
      <c r="B98" s="36" t="s">
        <v>158</v>
      </c>
      <c r="C98" s="37" t="n">
        <v>0</v>
      </c>
      <c r="D98" s="38" t="n">
        <f aca="false">C98/C76*D76</f>
        <v>0</v>
      </c>
      <c r="E98" s="39"/>
    </row>
    <row r="99" customFormat="false" ht="15" hidden="false" customHeight="false" outlineLevel="0" collapsed="false">
      <c r="A99" s="40"/>
      <c r="B99" s="36" t="s">
        <v>159</v>
      </c>
      <c r="C99" s="37" t="n">
        <v>0</v>
      </c>
      <c r="D99" s="38" t="n">
        <f aca="false">C99/C76*D76</f>
        <v>0</v>
      </c>
      <c r="E99" s="39"/>
    </row>
    <row r="100" customFormat="false" ht="15" hidden="false" customHeight="false" outlineLevel="0" collapsed="false">
      <c r="A100" s="40"/>
      <c r="B100" s="36" t="s">
        <v>160</v>
      </c>
      <c r="C100" s="37" t="n">
        <v>0</v>
      </c>
      <c r="D100" s="38" t="n">
        <f aca="false">C100/C76*D76</f>
        <v>0</v>
      </c>
      <c r="E100" s="39"/>
    </row>
    <row r="101" customFormat="false" ht="15" hidden="false" customHeight="false" outlineLevel="0" collapsed="false">
      <c r="A101" s="40"/>
      <c r="B101" s="36" t="s">
        <v>161</v>
      </c>
      <c r="C101" s="37" t="n">
        <v>0</v>
      </c>
      <c r="D101" s="38" t="n">
        <f aca="false">C101/C76*D76</f>
        <v>0</v>
      </c>
      <c r="E101" s="39"/>
    </row>
    <row r="102" customFormat="false" ht="15" hidden="false" customHeight="false" outlineLevel="0" collapsed="false">
      <c r="A102" s="40"/>
      <c r="B102" s="36" t="s">
        <v>162</v>
      </c>
      <c r="C102" s="37" t="n">
        <v>0</v>
      </c>
      <c r="D102" s="38" t="n">
        <f aca="false">C102/C76*D76</f>
        <v>0</v>
      </c>
      <c r="E102" s="39"/>
    </row>
    <row r="103" customFormat="false" ht="15" hidden="false" customHeight="false" outlineLevel="0" collapsed="false">
      <c r="A103" s="43" t="s">
        <v>163</v>
      </c>
      <c r="B103" s="43"/>
      <c r="C103" s="44" t="n">
        <f aca="false">SUM(C78:C102)</f>
        <v>18</v>
      </c>
      <c r="D103" s="38" t="n">
        <f aca="false">+C103/C76*D76</f>
        <v>1</v>
      </c>
      <c r="E103" s="39" t="n">
        <f aca="false">SUM(E78:E97)</f>
        <v>1</v>
      </c>
    </row>
    <row r="106" customFormat="false" ht="15" hidden="false" customHeight="false" outlineLevel="0" collapsed="false">
      <c r="A106" s="27" t="s">
        <v>166</v>
      </c>
      <c r="B106" s="27"/>
      <c r="C106" s="27"/>
      <c r="D106" s="27"/>
    </row>
    <row r="107" customFormat="false" ht="15" hidden="false" customHeight="false" outlineLevel="0" collapsed="false">
      <c r="A107" s="27" t="s">
        <v>131</v>
      </c>
      <c r="B107" s="27"/>
      <c r="C107" s="28" t="n">
        <v>0</v>
      </c>
      <c r="D107" s="28"/>
    </row>
    <row r="108" customFormat="false" ht="15.75" hidden="false" customHeight="true" outlineLevel="0" collapsed="false">
      <c r="A108" s="29" t="s">
        <v>132</v>
      </c>
      <c r="B108" s="29"/>
      <c r="C108" s="30" t="n">
        <f aca="false">C135</f>
        <v>23</v>
      </c>
      <c r="D108" s="31" t="n">
        <v>1</v>
      </c>
    </row>
    <row r="109" customFormat="false" ht="15" hidden="false" customHeight="false" outlineLevel="0" collapsed="false">
      <c r="A109" s="32" t="s">
        <v>133</v>
      </c>
      <c r="B109" s="32" t="s">
        <v>134</v>
      </c>
      <c r="C109" s="33" t="s">
        <v>135</v>
      </c>
      <c r="D109" s="34" t="s">
        <v>136</v>
      </c>
      <c r="E109" s="34" t="s">
        <v>137</v>
      </c>
    </row>
    <row r="110" customFormat="false" ht="15" hidden="false" customHeight="true" outlineLevel="0" collapsed="false">
      <c r="A110" s="35" t="s">
        <v>138</v>
      </c>
      <c r="B110" s="36" t="s">
        <v>139</v>
      </c>
      <c r="C110" s="37" t="n">
        <v>0</v>
      </c>
      <c r="D110" s="38" t="n">
        <f aca="false">C110/C108*D108</f>
        <v>0</v>
      </c>
      <c r="E110" s="39" t="n">
        <f aca="false">SUM(D110:D118)</f>
        <v>0.0434782608695652</v>
      </c>
    </row>
    <row r="111" customFormat="false" ht="15" hidden="false" customHeight="false" outlineLevel="0" collapsed="false">
      <c r="A111" s="35"/>
      <c r="B111" s="36" t="s">
        <v>140</v>
      </c>
      <c r="C111" s="37" t="n">
        <v>0</v>
      </c>
      <c r="D111" s="38" t="n">
        <f aca="false">C111/C108*D108</f>
        <v>0</v>
      </c>
      <c r="E111" s="39"/>
    </row>
    <row r="112" customFormat="false" ht="25.5" hidden="false" customHeight="false" outlineLevel="0" collapsed="false">
      <c r="A112" s="35"/>
      <c r="B112" s="36" t="s">
        <v>106</v>
      </c>
      <c r="C112" s="37" t="n">
        <v>0</v>
      </c>
      <c r="D112" s="38" t="n">
        <f aca="false">C112/C108*D108</f>
        <v>0</v>
      </c>
      <c r="E112" s="39"/>
    </row>
    <row r="113" customFormat="false" ht="15" hidden="false" customHeight="false" outlineLevel="0" collapsed="false">
      <c r="A113" s="35"/>
      <c r="B113" s="36" t="s">
        <v>141</v>
      </c>
      <c r="C113" s="37" t="n">
        <v>0</v>
      </c>
      <c r="D113" s="38" t="n">
        <f aca="false">C113/C108*D108</f>
        <v>0</v>
      </c>
      <c r="E113" s="39"/>
    </row>
    <row r="114" customFormat="false" ht="15" hidden="false" customHeight="false" outlineLevel="0" collapsed="false">
      <c r="A114" s="35"/>
      <c r="B114" s="36" t="s">
        <v>142</v>
      </c>
      <c r="C114" s="37" t="n">
        <v>0</v>
      </c>
      <c r="D114" s="38" t="n">
        <f aca="false">C114/C108*D108</f>
        <v>0</v>
      </c>
      <c r="E114" s="39"/>
    </row>
    <row r="115" customFormat="false" ht="15" hidden="false" customHeight="false" outlineLevel="0" collapsed="false">
      <c r="A115" s="35"/>
      <c r="B115" s="36" t="s">
        <v>143</v>
      </c>
      <c r="C115" s="37" t="n">
        <v>0</v>
      </c>
      <c r="D115" s="38" t="n">
        <f aca="false">C115/C108*D108</f>
        <v>0</v>
      </c>
      <c r="E115" s="39"/>
    </row>
    <row r="116" customFormat="false" ht="15" hidden="false" customHeight="false" outlineLevel="0" collapsed="false">
      <c r="A116" s="35"/>
      <c r="B116" s="36" t="s">
        <v>144</v>
      </c>
      <c r="C116" s="37" t="n">
        <v>1</v>
      </c>
      <c r="D116" s="38" t="n">
        <f aca="false">C116/C108*D108</f>
        <v>0.0434782608695652</v>
      </c>
      <c r="E116" s="39"/>
    </row>
    <row r="117" customFormat="false" ht="15" hidden="false" customHeight="false" outlineLevel="0" collapsed="false">
      <c r="A117" s="35"/>
      <c r="B117" s="36" t="s">
        <v>145</v>
      </c>
      <c r="C117" s="37" t="n">
        <v>0</v>
      </c>
      <c r="D117" s="38" t="n">
        <f aca="false">C117/C108*D108</f>
        <v>0</v>
      </c>
      <c r="E117" s="39"/>
    </row>
    <row r="118" customFormat="false" ht="25.5" hidden="false" customHeight="false" outlineLevel="0" collapsed="false">
      <c r="A118" s="35"/>
      <c r="B118" s="36" t="s">
        <v>146</v>
      </c>
      <c r="C118" s="37" t="n">
        <v>0</v>
      </c>
      <c r="D118" s="38" t="n">
        <f aca="false">C118/C108*D108</f>
        <v>0</v>
      </c>
      <c r="E118" s="39"/>
    </row>
    <row r="119" customFormat="false" ht="38.25" hidden="false" customHeight="false" outlineLevel="0" collapsed="false">
      <c r="A119" s="40" t="s">
        <v>80</v>
      </c>
      <c r="B119" s="36" t="s">
        <v>147</v>
      </c>
      <c r="C119" s="37" t="n">
        <v>0</v>
      </c>
      <c r="D119" s="38" t="n">
        <f aca="false">C119/C108*D108</f>
        <v>0</v>
      </c>
      <c r="E119" s="39" t="n">
        <f aca="false">SUM(D119:D121)</f>
        <v>0.130434782608696</v>
      </c>
    </row>
    <row r="120" customFormat="false" ht="25.5" hidden="false" customHeight="false" outlineLevel="0" collapsed="false">
      <c r="A120" s="40"/>
      <c r="B120" s="36" t="s">
        <v>148</v>
      </c>
      <c r="C120" s="37" t="n">
        <v>0</v>
      </c>
      <c r="D120" s="38" t="n">
        <f aca="false">C120/C108*D108</f>
        <v>0</v>
      </c>
      <c r="E120" s="39"/>
    </row>
    <row r="121" customFormat="false" ht="15" hidden="false" customHeight="false" outlineLevel="0" collapsed="false">
      <c r="A121" s="40"/>
      <c r="B121" s="36" t="s">
        <v>79</v>
      </c>
      <c r="C121" s="37" t="n">
        <v>3</v>
      </c>
      <c r="D121" s="38" t="n">
        <f aca="false">C121/C108*D108</f>
        <v>0.130434782608696</v>
      </c>
      <c r="E121" s="39"/>
    </row>
    <row r="122" customFormat="false" ht="15" hidden="false" customHeight="false" outlineLevel="0" collapsed="false">
      <c r="A122" s="41" t="s">
        <v>121</v>
      </c>
      <c r="B122" s="36" t="s">
        <v>149</v>
      </c>
      <c r="C122" s="37" t="n">
        <v>0</v>
      </c>
      <c r="D122" s="38" t="n">
        <f aca="false">C122/C108*D108</f>
        <v>0</v>
      </c>
      <c r="E122" s="39" t="n">
        <f aca="false">SUM(D122:D123)</f>
        <v>0.304347826086957</v>
      </c>
    </row>
    <row r="123" customFormat="false" ht="25.5" hidden="false" customHeight="false" outlineLevel="0" collapsed="false">
      <c r="A123" s="41"/>
      <c r="B123" s="36" t="s">
        <v>120</v>
      </c>
      <c r="C123" s="37" t="n">
        <v>7</v>
      </c>
      <c r="D123" s="38" t="n">
        <f aca="false">C123/C108*D108</f>
        <v>0.304347826086957</v>
      </c>
      <c r="E123" s="39"/>
    </row>
    <row r="124" customFormat="false" ht="15" hidden="false" customHeight="true" outlineLevel="0" collapsed="false">
      <c r="A124" s="42" t="s">
        <v>150</v>
      </c>
      <c r="B124" s="36" t="s">
        <v>95</v>
      </c>
      <c r="C124" s="37" t="n">
        <v>10</v>
      </c>
      <c r="D124" s="38" t="n">
        <f aca="false">C124/C108*D108</f>
        <v>0.434782608695652</v>
      </c>
      <c r="E124" s="39" t="n">
        <f aca="false">SUM(D124:D127)</f>
        <v>0.434782608695652</v>
      </c>
    </row>
    <row r="125" customFormat="false" ht="25.5" hidden="false" customHeight="false" outlineLevel="0" collapsed="false">
      <c r="A125" s="42"/>
      <c r="B125" s="36" t="s">
        <v>151</v>
      </c>
      <c r="C125" s="37" t="n">
        <v>0</v>
      </c>
      <c r="D125" s="38" t="n">
        <f aca="false">C125/C108*D108</f>
        <v>0</v>
      </c>
      <c r="E125" s="39"/>
    </row>
    <row r="126" customFormat="false" ht="15" hidden="false" customHeight="false" outlineLevel="0" collapsed="false">
      <c r="A126" s="42"/>
      <c r="B126" s="36" t="s">
        <v>152</v>
      </c>
      <c r="C126" s="37" t="n">
        <v>0</v>
      </c>
      <c r="D126" s="38" t="n">
        <f aca="false">C126/C108*D108</f>
        <v>0</v>
      </c>
      <c r="E126" s="39"/>
    </row>
    <row r="127" customFormat="false" ht="25.5" hidden="false" customHeight="false" outlineLevel="0" collapsed="false">
      <c r="A127" s="42"/>
      <c r="B127" s="36" t="s">
        <v>153</v>
      </c>
      <c r="C127" s="37" t="n">
        <v>0</v>
      </c>
      <c r="D127" s="38" t="n">
        <f aca="false">C127/C108*D108</f>
        <v>0</v>
      </c>
      <c r="E127" s="39"/>
    </row>
    <row r="128" customFormat="false" ht="28.5" hidden="false" customHeight="false" outlineLevel="0" collapsed="false">
      <c r="A128" s="42" t="s">
        <v>154</v>
      </c>
      <c r="B128" s="36" t="s">
        <v>155</v>
      </c>
      <c r="C128" s="37" t="n">
        <v>0</v>
      </c>
      <c r="D128" s="38" t="n">
        <f aca="false">C128/C108*D108</f>
        <v>0</v>
      </c>
      <c r="E128" s="39" t="n">
        <f aca="false">SUM(D128)</f>
        <v>0</v>
      </c>
    </row>
    <row r="129" customFormat="false" ht="15" hidden="false" customHeight="false" outlineLevel="0" collapsed="false">
      <c r="A129" s="40" t="s">
        <v>156</v>
      </c>
      <c r="B129" s="36" t="s">
        <v>157</v>
      </c>
      <c r="C129" s="37" t="n">
        <v>1</v>
      </c>
      <c r="D129" s="38" t="n">
        <f aca="false">C129/C108*D108</f>
        <v>0.0434782608695652</v>
      </c>
      <c r="E129" s="39" t="n">
        <f aca="false">SUM(D129:D134)</f>
        <v>0.0869565217391304</v>
      </c>
    </row>
    <row r="130" customFormat="false" ht="15" hidden="false" customHeight="false" outlineLevel="0" collapsed="false">
      <c r="A130" s="40"/>
      <c r="B130" s="36" t="s">
        <v>158</v>
      </c>
      <c r="C130" s="37" t="n">
        <v>1</v>
      </c>
      <c r="D130" s="38" t="n">
        <f aca="false">C130/C108*D108</f>
        <v>0.0434782608695652</v>
      </c>
      <c r="E130" s="39"/>
    </row>
    <row r="131" customFormat="false" ht="15" hidden="false" customHeight="false" outlineLevel="0" collapsed="false">
      <c r="A131" s="40"/>
      <c r="B131" s="36" t="s">
        <v>159</v>
      </c>
      <c r="C131" s="37" t="n">
        <v>0</v>
      </c>
      <c r="D131" s="38" t="n">
        <f aca="false">C131/C108*D108</f>
        <v>0</v>
      </c>
      <c r="E131" s="39"/>
    </row>
    <row r="132" customFormat="false" ht="15" hidden="false" customHeight="false" outlineLevel="0" collapsed="false">
      <c r="A132" s="40"/>
      <c r="B132" s="36" t="s">
        <v>160</v>
      </c>
      <c r="C132" s="37" t="n">
        <v>0</v>
      </c>
      <c r="D132" s="38" t="n">
        <f aca="false">C132/C108*D108</f>
        <v>0</v>
      </c>
      <c r="E132" s="39"/>
    </row>
    <row r="133" customFormat="false" ht="15" hidden="false" customHeight="false" outlineLevel="0" collapsed="false">
      <c r="A133" s="40"/>
      <c r="B133" s="36" t="s">
        <v>161</v>
      </c>
      <c r="C133" s="37" t="n">
        <v>0</v>
      </c>
      <c r="D133" s="38" t="n">
        <f aca="false">C133/C108*D108</f>
        <v>0</v>
      </c>
      <c r="E133" s="39"/>
    </row>
    <row r="134" customFormat="false" ht="15" hidden="false" customHeight="false" outlineLevel="0" collapsed="false">
      <c r="A134" s="40"/>
      <c r="B134" s="36" t="s">
        <v>162</v>
      </c>
      <c r="C134" s="37" t="n">
        <v>0</v>
      </c>
      <c r="D134" s="38" t="n">
        <f aca="false">C134/C108*D108</f>
        <v>0</v>
      </c>
      <c r="E134" s="39"/>
    </row>
    <row r="135" customFormat="false" ht="15" hidden="false" customHeight="false" outlineLevel="0" collapsed="false">
      <c r="A135" s="43" t="s">
        <v>163</v>
      </c>
      <c r="B135" s="43"/>
      <c r="C135" s="44" t="n">
        <f aca="false">SUM(C110:C134)</f>
        <v>23</v>
      </c>
      <c r="D135" s="38" t="n">
        <f aca="false">+C135/C108*D108</f>
        <v>1</v>
      </c>
      <c r="E135" s="39" t="n">
        <f aca="false">SUM(E110:E129)</f>
        <v>1</v>
      </c>
    </row>
    <row r="138" customFormat="false" ht="15" hidden="false" customHeight="false" outlineLevel="0" collapsed="false">
      <c r="A138" s="27" t="s">
        <v>167</v>
      </c>
      <c r="B138" s="27"/>
      <c r="C138" s="27"/>
      <c r="D138" s="27"/>
    </row>
    <row r="139" customFormat="false" ht="15" hidden="false" customHeight="false" outlineLevel="0" collapsed="false">
      <c r="A139" s="27" t="s">
        <v>131</v>
      </c>
      <c r="B139" s="27"/>
      <c r="C139" s="28" t="n">
        <v>0</v>
      </c>
      <c r="D139" s="28"/>
    </row>
    <row r="140" customFormat="false" ht="15.75" hidden="false" customHeight="true" outlineLevel="0" collapsed="false">
      <c r="A140" s="29" t="s">
        <v>132</v>
      </c>
      <c r="B140" s="29"/>
      <c r="C140" s="30" t="n">
        <f aca="false">C167</f>
        <v>6</v>
      </c>
      <c r="D140" s="31" t="n">
        <v>1</v>
      </c>
    </row>
    <row r="141" customFormat="false" ht="15" hidden="false" customHeight="false" outlineLevel="0" collapsed="false">
      <c r="A141" s="32" t="s">
        <v>133</v>
      </c>
      <c r="B141" s="32" t="s">
        <v>134</v>
      </c>
      <c r="C141" s="33" t="s">
        <v>135</v>
      </c>
      <c r="D141" s="34" t="s">
        <v>136</v>
      </c>
      <c r="E141" s="34" t="s">
        <v>137</v>
      </c>
    </row>
    <row r="142" customFormat="false" ht="15" hidden="false" customHeight="true" outlineLevel="0" collapsed="false">
      <c r="A142" s="35" t="s">
        <v>138</v>
      </c>
      <c r="B142" s="36" t="s">
        <v>139</v>
      </c>
      <c r="C142" s="37" t="n">
        <v>0</v>
      </c>
      <c r="D142" s="38" t="n">
        <f aca="false">C142/C140*D140</f>
        <v>0</v>
      </c>
      <c r="E142" s="39" t="n">
        <f aca="false">SUM(D142:D150)</f>
        <v>0</v>
      </c>
    </row>
    <row r="143" customFormat="false" ht="15" hidden="false" customHeight="false" outlineLevel="0" collapsed="false">
      <c r="A143" s="35"/>
      <c r="B143" s="36" t="s">
        <v>140</v>
      </c>
      <c r="C143" s="37" t="n">
        <v>0</v>
      </c>
      <c r="D143" s="38" t="n">
        <f aca="false">C143/C140*D140</f>
        <v>0</v>
      </c>
      <c r="E143" s="39"/>
    </row>
    <row r="144" customFormat="false" ht="25.5" hidden="false" customHeight="false" outlineLevel="0" collapsed="false">
      <c r="A144" s="35"/>
      <c r="B144" s="36" t="s">
        <v>106</v>
      </c>
      <c r="C144" s="37" t="n">
        <v>0</v>
      </c>
      <c r="D144" s="38" t="n">
        <f aca="false">C144/C140*D140</f>
        <v>0</v>
      </c>
      <c r="E144" s="39"/>
    </row>
    <row r="145" customFormat="false" ht="15" hidden="false" customHeight="false" outlineLevel="0" collapsed="false">
      <c r="A145" s="35"/>
      <c r="B145" s="36" t="s">
        <v>141</v>
      </c>
      <c r="C145" s="37" t="n">
        <v>0</v>
      </c>
      <c r="D145" s="38" t="n">
        <f aca="false">C145/C140*D140</f>
        <v>0</v>
      </c>
      <c r="E145" s="39"/>
    </row>
    <row r="146" customFormat="false" ht="15" hidden="false" customHeight="false" outlineLevel="0" collapsed="false">
      <c r="A146" s="35"/>
      <c r="B146" s="36" t="s">
        <v>142</v>
      </c>
      <c r="C146" s="37" t="n">
        <v>0</v>
      </c>
      <c r="D146" s="38" t="n">
        <f aca="false">C146/C140*D140</f>
        <v>0</v>
      </c>
      <c r="E146" s="39"/>
    </row>
    <row r="147" customFormat="false" ht="15" hidden="false" customHeight="false" outlineLevel="0" collapsed="false">
      <c r="A147" s="35"/>
      <c r="B147" s="36" t="s">
        <v>143</v>
      </c>
      <c r="C147" s="37" t="n">
        <v>0</v>
      </c>
      <c r="D147" s="38" t="n">
        <f aca="false">C147/C140*D140</f>
        <v>0</v>
      </c>
      <c r="E147" s="39"/>
    </row>
    <row r="148" customFormat="false" ht="15" hidden="false" customHeight="false" outlineLevel="0" collapsed="false">
      <c r="A148" s="35"/>
      <c r="B148" s="36" t="s">
        <v>144</v>
      </c>
      <c r="C148" s="37" t="n">
        <v>0</v>
      </c>
      <c r="D148" s="38" t="n">
        <f aca="false">C148/C140*D140</f>
        <v>0</v>
      </c>
      <c r="E148" s="39"/>
    </row>
    <row r="149" customFormat="false" ht="15" hidden="false" customHeight="false" outlineLevel="0" collapsed="false">
      <c r="A149" s="35"/>
      <c r="B149" s="36" t="s">
        <v>145</v>
      </c>
      <c r="C149" s="37" t="n">
        <v>0</v>
      </c>
      <c r="D149" s="38" t="n">
        <f aca="false">C149/C140*D140</f>
        <v>0</v>
      </c>
      <c r="E149" s="39"/>
    </row>
    <row r="150" customFormat="false" ht="25.5" hidden="false" customHeight="false" outlineLevel="0" collapsed="false">
      <c r="A150" s="35"/>
      <c r="B150" s="36" t="s">
        <v>146</v>
      </c>
      <c r="C150" s="37" t="n">
        <v>0</v>
      </c>
      <c r="D150" s="38" t="n">
        <f aca="false">C150/C140*D140</f>
        <v>0</v>
      </c>
      <c r="E150" s="39"/>
    </row>
    <row r="151" customFormat="false" ht="38.25" hidden="false" customHeight="false" outlineLevel="0" collapsed="false">
      <c r="A151" s="40" t="s">
        <v>80</v>
      </c>
      <c r="B151" s="36" t="s">
        <v>147</v>
      </c>
      <c r="C151" s="37" t="n">
        <v>0</v>
      </c>
      <c r="D151" s="38" t="n">
        <f aca="false">C151/C140*D140</f>
        <v>0</v>
      </c>
      <c r="E151" s="39" t="n">
        <f aca="false">SUM(D151:D153)</f>
        <v>0.166666666666667</v>
      </c>
    </row>
    <row r="152" customFormat="false" ht="25.5" hidden="false" customHeight="false" outlineLevel="0" collapsed="false">
      <c r="A152" s="40"/>
      <c r="B152" s="36" t="s">
        <v>148</v>
      </c>
      <c r="C152" s="37" t="n">
        <v>0</v>
      </c>
      <c r="D152" s="38" t="n">
        <f aca="false">C152/C140*D140</f>
        <v>0</v>
      </c>
      <c r="E152" s="39"/>
    </row>
    <row r="153" customFormat="false" ht="15" hidden="false" customHeight="false" outlineLevel="0" collapsed="false">
      <c r="A153" s="40"/>
      <c r="B153" s="36" t="s">
        <v>79</v>
      </c>
      <c r="C153" s="37" t="n">
        <v>1</v>
      </c>
      <c r="D153" s="38" t="n">
        <f aca="false">C153/C140*D140</f>
        <v>0.166666666666667</v>
      </c>
      <c r="E153" s="39"/>
    </row>
    <row r="154" customFormat="false" ht="15" hidden="false" customHeight="false" outlineLevel="0" collapsed="false">
      <c r="A154" s="41" t="s">
        <v>121</v>
      </c>
      <c r="B154" s="36" t="s">
        <v>149</v>
      </c>
      <c r="C154" s="37" t="n">
        <v>0</v>
      </c>
      <c r="D154" s="38" t="n">
        <f aca="false">C154/C140*D140</f>
        <v>0</v>
      </c>
      <c r="E154" s="39" t="n">
        <f aca="false">SUM(D154:D155)</f>
        <v>0.666666666666667</v>
      </c>
    </row>
    <row r="155" customFormat="false" ht="25.5" hidden="false" customHeight="false" outlineLevel="0" collapsed="false">
      <c r="A155" s="41"/>
      <c r="B155" s="36" t="s">
        <v>120</v>
      </c>
      <c r="C155" s="37" t="n">
        <v>4</v>
      </c>
      <c r="D155" s="38" t="n">
        <f aca="false">C155/C140*D140</f>
        <v>0.666666666666667</v>
      </c>
      <c r="E155" s="39"/>
    </row>
    <row r="156" customFormat="false" ht="15" hidden="false" customHeight="true" outlineLevel="0" collapsed="false">
      <c r="A156" s="42" t="s">
        <v>150</v>
      </c>
      <c r="B156" s="36" t="s">
        <v>95</v>
      </c>
      <c r="C156" s="37" t="n">
        <v>1</v>
      </c>
      <c r="D156" s="38" t="n">
        <f aca="false">C156/C140*D140</f>
        <v>0.166666666666667</v>
      </c>
      <c r="E156" s="39" t="n">
        <f aca="false">SUM(D156:D159)</f>
        <v>0.166666666666667</v>
      </c>
    </row>
    <row r="157" customFormat="false" ht="25.5" hidden="false" customHeight="false" outlineLevel="0" collapsed="false">
      <c r="A157" s="42"/>
      <c r="B157" s="36" t="s">
        <v>151</v>
      </c>
      <c r="C157" s="37" t="n">
        <v>0</v>
      </c>
      <c r="D157" s="38" t="n">
        <f aca="false">C157/C140*D140</f>
        <v>0</v>
      </c>
      <c r="E157" s="39"/>
    </row>
    <row r="158" customFormat="false" ht="15" hidden="false" customHeight="false" outlineLevel="0" collapsed="false">
      <c r="A158" s="42"/>
      <c r="B158" s="36" t="s">
        <v>152</v>
      </c>
      <c r="C158" s="37" t="n">
        <v>0</v>
      </c>
      <c r="D158" s="38" t="n">
        <f aca="false">C158/C140*D140</f>
        <v>0</v>
      </c>
      <c r="E158" s="39"/>
    </row>
    <row r="159" customFormat="false" ht="25.5" hidden="false" customHeight="false" outlineLevel="0" collapsed="false">
      <c r="A159" s="42"/>
      <c r="B159" s="36" t="s">
        <v>153</v>
      </c>
      <c r="C159" s="37" t="n">
        <v>0</v>
      </c>
      <c r="D159" s="38" t="n">
        <f aca="false">C159/C140*D140</f>
        <v>0</v>
      </c>
      <c r="E159" s="39"/>
    </row>
    <row r="160" customFormat="false" ht="28.5" hidden="false" customHeight="false" outlineLevel="0" collapsed="false">
      <c r="A160" s="42" t="s">
        <v>154</v>
      </c>
      <c r="B160" s="36" t="s">
        <v>155</v>
      </c>
      <c r="C160" s="37" t="n">
        <v>0</v>
      </c>
      <c r="D160" s="38" t="n">
        <f aca="false">C160/C140*D140</f>
        <v>0</v>
      </c>
      <c r="E160" s="39" t="n">
        <f aca="false">SUM(D160)</f>
        <v>0</v>
      </c>
    </row>
    <row r="161" customFormat="false" ht="15" hidden="false" customHeight="false" outlineLevel="0" collapsed="false">
      <c r="A161" s="40" t="s">
        <v>156</v>
      </c>
      <c r="B161" s="36" t="s">
        <v>157</v>
      </c>
      <c r="C161" s="37" t="n">
        <v>0</v>
      </c>
      <c r="D161" s="38" t="n">
        <f aca="false">C161/C140*D140</f>
        <v>0</v>
      </c>
      <c r="E161" s="39" t="n">
        <f aca="false">SUM(D161:D166)</f>
        <v>0</v>
      </c>
    </row>
    <row r="162" customFormat="false" ht="15" hidden="false" customHeight="false" outlineLevel="0" collapsed="false">
      <c r="A162" s="40"/>
      <c r="B162" s="36" t="s">
        <v>158</v>
      </c>
      <c r="C162" s="37" t="n">
        <v>0</v>
      </c>
      <c r="D162" s="38" t="n">
        <f aca="false">C162/C140*D140</f>
        <v>0</v>
      </c>
      <c r="E162" s="39"/>
    </row>
    <row r="163" customFormat="false" ht="15" hidden="false" customHeight="false" outlineLevel="0" collapsed="false">
      <c r="A163" s="40"/>
      <c r="B163" s="36" t="s">
        <v>159</v>
      </c>
      <c r="C163" s="37" t="n">
        <v>0</v>
      </c>
      <c r="D163" s="38" t="n">
        <f aca="false">C163/C140*D140</f>
        <v>0</v>
      </c>
      <c r="E163" s="39"/>
    </row>
    <row r="164" customFormat="false" ht="15" hidden="false" customHeight="false" outlineLevel="0" collapsed="false">
      <c r="A164" s="40"/>
      <c r="B164" s="36" t="s">
        <v>160</v>
      </c>
      <c r="C164" s="37" t="n">
        <v>0</v>
      </c>
      <c r="D164" s="38" t="n">
        <f aca="false">C164/C140*D140</f>
        <v>0</v>
      </c>
      <c r="E164" s="39"/>
    </row>
    <row r="165" customFormat="false" ht="15" hidden="false" customHeight="false" outlineLevel="0" collapsed="false">
      <c r="A165" s="40"/>
      <c r="B165" s="36" t="s">
        <v>161</v>
      </c>
      <c r="C165" s="37" t="n">
        <v>0</v>
      </c>
      <c r="D165" s="38" t="n">
        <f aca="false">C165/C140*D140</f>
        <v>0</v>
      </c>
      <c r="E165" s="39"/>
    </row>
    <row r="166" customFormat="false" ht="15" hidden="false" customHeight="false" outlineLevel="0" collapsed="false">
      <c r="A166" s="40"/>
      <c r="B166" s="36" t="s">
        <v>162</v>
      </c>
      <c r="C166" s="37" t="n">
        <v>0</v>
      </c>
      <c r="D166" s="38" t="n">
        <f aca="false">C166/C140*D140</f>
        <v>0</v>
      </c>
      <c r="E166" s="39"/>
    </row>
    <row r="167" customFormat="false" ht="15" hidden="false" customHeight="false" outlineLevel="0" collapsed="false">
      <c r="A167" s="43" t="s">
        <v>163</v>
      </c>
      <c r="B167" s="43"/>
      <c r="C167" s="44" t="n">
        <f aca="false">SUM(C142:C166)</f>
        <v>6</v>
      </c>
      <c r="D167" s="38" t="n">
        <f aca="false">+C167/C140*D140</f>
        <v>1</v>
      </c>
      <c r="E167" s="39" t="n">
        <f aca="false">SUM(E142:E161)</f>
        <v>1</v>
      </c>
    </row>
    <row r="170" customFormat="false" ht="15" hidden="false" customHeight="false" outlineLevel="0" collapsed="false">
      <c r="A170" s="27" t="s">
        <v>168</v>
      </c>
      <c r="B170" s="27"/>
      <c r="C170" s="27"/>
      <c r="D170" s="27"/>
    </row>
    <row r="171" customFormat="false" ht="15" hidden="false" customHeight="false" outlineLevel="0" collapsed="false">
      <c r="A171" s="27" t="s">
        <v>131</v>
      </c>
      <c r="B171" s="27"/>
      <c r="C171" s="28" t="n">
        <v>0</v>
      </c>
      <c r="D171" s="28"/>
    </row>
    <row r="172" customFormat="false" ht="15.75" hidden="false" customHeight="true" outlineLevel="0" collapsed="false">
      <c r="A172" s="29" t="s">
        <v>132</v>
      </c>
      <c r="B172" s="29"/>
      <c r="C172" s="30" t="n">
        <f aca="false">C199</f>
        <v>43</v>
      </c>
      <c r="D172" s="31" t="n">
        <v>1</v>
      </c>
    </row>
    <row r="173" customFormat="false" ht="15" hidden="false" customHeight="false" outlineLevel="0" collapsed="false">
      <c r="A173" s="32" t="s">
        <v>133</v>
      </c>
      <c r="B173" s="32" t="s">
        <v>134</v>
      </c>
      <c r="C173" s="33" t="s">
        <v>135</v>
      </c>
      <c r="D173" s="34" t="s">
        <v>136</v>
      </c>
      <c r="E173" s="34" t="s">
        <v>137</v>
      </c>
    </row>
    <row r="174" customFormat="false" ht="15" hidden="false" customHeight="true" outlineLevel="0" collapsed="false">
      <c r="A174" s="35" t="s">
        <v>138</v>
      </c>
      <c r="B174" s="36" t="s">
        <v>139</v>
      </c>
      <c r="C174" s="37" t="n">
        <v>0</v>
      </c>
      <c r="D174" s="38" t="n">
        <f aca="false">C174/C172*D172</f>
        <v>0</v>
      </c>
      <c r="E174" s="39" t="n">
        <f aca="false">SUM(D174:D182)</f>
        <v>0</v>
      </c>
    </row>
    <row r="175" customFormat="false" ht="15" hidden="false" customHeight="false" outlineLevel="0" collapsed="false">
      <c r="A175" s="35"/>
      <c r="B175" s="36" t="s">
        <v>140</v>
      </c>
      <c r="C175" s="37" t="n">
        <v>0</v>
      </c>
      <c r="D175" s="38" t="n">
        <f aca="false">C175/C172*D172</f>
        <v>0</v>
      </c>
      <c r="E175" s="39"/>
    </row>
    <row r="176" customFormat="false" ht="25.5" hidden="false" customHeight="false" outlineLevel="0" collapsed="false">
      <c r="A176" s="35"/>
      <c r="B176" s="36" t="s">
        <v>106</v>
      </c>
      <c r="C176" s="37" t="n">
        <v>0</v>
      </c>
      <c r="D176" s="38" t="n">
        <f aca="false">C176/C172*D172</f>
        <v>0</v>
      </c>
      <c r="E176" s="39"/>
    </row>
    <row r="177" customFormat="false" ht="15" hidden="false" customHeight="false" outlineLevel="0" collapsed="false">
      <c r="A177" s="35"/>
      <c r="B177" s="36" t="s">
        <v>141</v>
      </c>
      <c r="C177" s="37" t="n">
        <v>0</v>
      </c>
      <c r="D177" s="38" t="n">
        <f aca="false">C177/C172*D172</f>
        <v>0</v>
      </c>
      <c r="E177" s="39"/>
    </row>
    <row r="178" customFormat="false" ht="15" hidden="false" customHeight="false" outlineLevel="0" collapsed="false">
      <c r="A178" s="35"/>
      <c r="B178" s="36" t="s">
        <v>142</v>
      </c>
      <c r="C178" s="37" t="n">
        <v>0</v>
      </c>
      <c r="D178" s="38" t="n">
        <f aca="false">C178/C172*D172</f>
        <v>0</v>
      </c>
      <c r="E178" s="39"/>
    </row>
    <row r="179" customFormat="false" ht="15" hidden="false" customHeight="false" outlineLevel="0" collapsed="false">
      <c r="A179" s="35"/>
      <c r="B179" s="36" t="s">
        <v>143</v>
      </c>
      <c r="C179" s="37" t="n">
        <v>0</v>
      </c>
      <c r="D179" s="38" t="n">
        <f aca="false">C179/C172*D172</f>
        <v>0</v>
      </c>
      <c r="E179" s="39"/>
    </row>
    <row r="180" customFormat="false" ht="15" hidden="false" customHeight="false" outlineLevel="0" collapsed="false">
      <c r="A180" s="35"/>
      <c r="B180" s="36" t="s">
        <v>144</v>
      </c>
      <c r="C180" s="37" t="n">
        <v>0</v>
      </c>
      <c r="D180" s="38" t="n">
        <f aca="false">C180/C172*D172</f>
        <v>0</v>
      </c>
      <c r="E180" s="39"/>
    </row>
    <row r="181" customFormat="false" ht="15" hidden="false" customHeight="false" outlineLevel="0" collapsed="false">
      <c r="A181" s="35"/>
      <c r="B181" s="36" t="s">
        <v>145</v>
      </c>
      <c r="C181" s="37" t="n">
        <v>0</v>
      </c>
      <c r="D181" s="38" t="n">
        <f aca="false">C181/C172*D172</f>
        <v>0</v>
      </c>
      <c r="E181" s="39"/>
    </row>
    <row r="182" customFormat="false" ht="25.5" hidden="false" customHeight="false" outlineLevel="0" collapsed="false">
      <c r="A182" s="35"/>
      <c r="B182" s="36" t="s">
        <v>146</v>
      </c>
      <c r="C182" s="37" t="n">
        <v>0</v>
      </c>
      <c r="D182" s="38" t="n">
        <f aca="false">C182/C172*D172</f>
        <v>0</v>
      </c>
      <c r="E182" s="39"/>
    </row>
    <row r="183" customFormat="false" ht="38.25" hidden="false" customHeight="false" outlineLevel="0" collapsed="false">
      <c r="A183" s="40" t="s">
        <v>80</v>
      </c>
      <c r="B183" s="36" t="s">
        <v>147</v>
      </c>
      <c r="C183" s="37" t="n">
        <v>0</v>
      </c>
      <c r="D183" s="38" t="n">
        <f aca="false">C183/C172*D172</f>
        <v>0</v>
      </c>
      <c r="E183" s="39" t="n">
        <f aca="false">SUM(D183:D185)</f>
        <v>0.0697674418604651</v>
      </c>
    </row>
    <row r="184" customFormat="false" ht="25.5" hidden="false" customHeight="false" outlineLevel="0" collapsed="false">
      <c r="A184" s="40"/>
      <c r="B184" s="36" t="s">
        <v>148</v>
      </c>
      <c r="C184" s="37" t="n">
        <v>0</v>
      </c>
      <c r="D184" s="38" t="n">
        <f aca="false">C184/C172*D172</f>
        <v>0</v>
      </c>
      <c r="E184" s="39"/>
    </row>
    <row r="185" customFormat="false" ht="15" hidden="false" customHeight="false" outlineLevel="0" collapsed="false">
      <c r="A185" s="40"/>
      <c r="B185" s="36" t="s">
        <v>79</v>
      </c>
      <c r="C185" s="37" t="n">
        <v>3</v>
      </c>
      <c r="D185" s="38" t="n">
        <f aca="false">C185/C172*D172</f>
        <v>0.0697674418604651</v>
      </c>
      <c r="E185" s="39"/>
    </row>
    <row r="186" customFormat="false" ht="15" hidden="false" customHeight="false" outlineLevel="0" collapsed="false">
      <c r="A186" s="41" t="s">
        <v>121</v>
      </c>
      <c r="B186" s="36" t="s">
        <v>149</v>
      </c>
      <c r="C186" s="37" t="n">
        <v>0</v>
      </c>
      <c r="D186" s="38" t="n">
        <f aca="false">C186/C172*D172</f>
        <v>0</v>
      </c>
      <c r="E186" s="39" t="n">
        <f aca="false">SUM(D186:D187)</f>
        <v>0.441860465116279</v>
      </c>
    </row>
    <row r="187" customFormat="false" ht="25.5" hidden="false" customHeight="false" outlineLevel="0" collapsed="false">
      <c r="A187" s="41"/>
      <c r="B187" s="36" t="s">
        <v>120</v>
      </c>
      <c r="C187" s="37" t="n">
        <v>19</v>
      </c>
      <c r="D187" s="38" t="n">
        <f aca="false">C187/C172*D172</f>
        <v>0.441860465116279</v>
      </c>
      <c r="E187" s="39"/>
    </row>
    <row r="188" customFormat="false" ht="15" hidden="false" customHeight="true" outlineLevel="0" collapsed="false">
      <c r="A188" s="42" t="s">
        <v>150</v>
      </c>
      <c r="B188" s="36" t="s">
        <v>95</v>
      </c>
      <c r="C188" s="37" t="n">
        <v>16</v>
      </c>
      <c r="D188" s="38" t="n">
        <f aca="false">C188/C172*D172</f>
        <v>0.372093023255814</v>
      </c>
      <c r="E188" s="39" t="n">
        <f aca="false">SUM(D188:D191)</f>
        <v>0.418604651162791</v>
      </c>
    </row>
    <row r="189" customFormat="false" ht="25.5" hidden="false" customHeight="false" outlineLevel="0" collapsed="false">
      <c r="A189" s="42"/>
      <c r="B189" s="36" t="s">
        <v>151</v>
      </c>
      <c r="C189" s="37" t="n">
        <v>0</v>
      </c>
      <c r="D189" s="38" t="n">
        <f aca="false">C189/C172*D172</f>
        <v>0</v>
      </c>
      <c r="E189" s="39"/>
    </row>
    <row r="190" customFormat="false" ht="15" hidden="false" customHeight="false" outlineLevel="0" collapsed="false">
      <c r="A190" s="42"/>
      <c r="B190" s="36" t="s">
        <v>152</v>
      </c>
      <c r="C190" s="37" t="n">
        <v>0</v>
      </c>
      <c r="D190" s="38" t="n">
        <f aca="false">C190/C172*D172</f>
        <v>0</v>
      </c>
      <c r="E190" s="39"/>
    </row>
    <row r="191" customFormat="false" ht="25.5" hidden="false" customHeight="false" outlineLevel="0" collapsed="false">
      <c r="A191" s="42"/>
      <c r="B191" s="36" t="s">
        <v>153</v>
      </c>
      <c r="C191" s="37" t="n">
        <v>2</v>
      </c>
      <c r="D191" s="38" t="n">
        <f aca="false">C191/C172*D172</f>
        <v>0.0465116279069768</v>
      </c>
      <c r="E191" s="39"/>
    </row>
    <row r="192" customFormat="false" ht="28.5" hidden="false" customHeight="false" outlineLevel="0" collapsed="false">
      <c r="A192" s="42" t="s">
        <v>154</v>
      </c>
      <c r="B192" s="36" t="s">
        <v>155</v>
      </c>
      <c r="C192" s="37" t="n">
        <v>0</v>
      </c>
      <c r="D192" s="38" t="n">
        <f aca="false">C192/C172*D172</f>
        <v>0</v>
      </c>
      <c r="E192" s="39" t="n">
        <f aca="false">SUM(D192)</f>
        <v>0</v>
      </c>
    </row>
    <row r="193" customFormat="false" ht="15" hidden="false" customHeight="false" outlineLevel="0" collapsed="false">
      <c r="A193" s="40" t="s">
        <v>156</v>
      </c>
      <c r="B193" s="36" t="s">
        <v>157</v>
      </c>
      <c r="C193" s="37" t="n">
        <v>2</v>
      </c>
      <c r="D193" s="38" t="n">
        <f aca="false">C193/C172*D172</f>
        <v>0.0465116279069768</v>
      </c>
      <c r="E193" s="39" t="n">
        <f aca="false">SUM(D193:D198)</f>
        <v>0.0697674418604651</v>
      </c>
    </row>
    <row r="194" customFormat="false" ht="15" hidden="false" customHeight="false" outlineLevel="0" collapsed="false">
      <c r="A194" s="40"/>
      <c r="B194" s="36" t="s">
        <v>158</v>
      </c>
      <c r="C194" s="37" t="n">
        <v>1</v>
      </c>
      <c r="D194" s="38" t="n">
        <f aca="false">C194/C172*D172</f>
        <v>0.0232558139534884</v>
      </c>
      <c r="E194" s="39"/>
    </row>
    <row r="195" customFormat="false" ht="15" hidden="false" customHeight="false" outlineLevel="0" collapsed="false">
      <c r="A195" s="40"/>
      <c r="B195" s="36" t="s">
        <v>159</v>
      </c>
      <c r="C195" s="37" t="n">
        <v>0</v>
      </c>
      <c r="D195" s="38" t="n">
        <f aca="false">C195/C172*D172</f>
        <v>0</v>
      </c>
      <c r="E195" s="39"/>
    </row>
    <row r="196" customFormat="false" ht="15" hidden="false" customHeight="false" outlineLevel="0" collapsed="false">
      <c r="A196" s="40"/>
      <c r="B196" s="36" t="s">
        <v>160</v>
      </c>
      <c r="C196" s="37" t="n">
        <v>0</v>
      </c>
      <c r="D196" s="38" t="n">
        <f aca="false">C196/C172*D172</f>
        <v>0</v>
      </c>
      <c r="E196" s="39"/>
    </row>
    <row r="197" customFormat="false" ht="15" hidden="false" customHeight="false" outlineLevel="0" collapsed="false">
      <c r="A197" s="40"/>
      <c r="B197" s="36" t="s">
        <v>161</v>
      </c>
      <c r="C197" s="37" t="n">
        <v>0</v>
      </c>
      <c r="D197" s="38" t="n">
        <f aca="false">C197/C172*D172</f>
        <v>0</v>
      </c>
      <c r="E197" s="39"/>
    </row>
    <row r="198" customFormat="false" ht="15" hidden="false" customHeight="false" outlineLevel="0" collapsed="false">
      <c r="A198" s="40"/>
      <c r="B198" s="36" t="s">
        <v>162</v>
      </c>
      <c r="C198" s="37" t="n">
        <v>0</v>
      </c>
      <c r="D198" s="38" t="n">
        <f aca="false">C198/C172*D172</f>
        <v>0</v>
      </c>
      <c r="E198" s="39"/>
    </row>
    <row r="199" customFormat="false" ht="15" hidden="false" customHeight="false" outlineLevel="0" collapsed="false">
      <c r="A199" s="43" t="s">
        <v>163</v>
      </c>
      <c r="B199" s="43"/>
      <c r="C199" s="44" t="n">
        <f aca="false">SUM(C174:C198)</f>
        <v>43</v>
      </c>
      <c r="D199" s="38" t="n">
        <f aca="false">+C199/C172*D172</f>
        <v>1</v>
      </c>
      <c r="E199" s="39" t="n">
        <f aca="false">SUM(E174:E193)</f>
        <v>1</v>
      </c>
    </row>
    <row r="202" customFormat="false" ht="15" hidden="false" customHeight="false" outlineLevel="0" collapsed="false">
      <c r="A202" s="27" t="s">
        <v>169</v>
      </c>
      <c r="B202" s="27"/>
      <c r="C202" s="27"/>
      <c r="D202" s="27"/>
    </row>
    <row r="203" customFormat="false" ht="15" hidden="false" customHeight="false" outlineLevel="0" collapsed="false">
      <c r="A203" s="27" t="s">
        <v>131</v>
      </c>
      <c r="B203" s="27"/>
      <c r="C203" s="28" t="n">
        <v>0</v>
      </c>
      <c r="D203" s="28"/>
    </row>
    <row r="204" customFormat="false" ht="15.75" hidden="false" customHeight="true" outlineLevel="0" collapsed="false">
      <c r="A204" s="29" t="s">
        <v>132</v>
      </c>
      <c r="B204" s="29"/>
      <c r="C204" s="30" t="n">
        <f aca="false">C231</f>
        <v>1</v>
      </c>
      <c r="D204" s="31" t="n">
        <v>1</v>
      </c>
    </row>
    <row r="205" customFormat="false" ht="15" hidden="false" customHeight="false" outlineLevel="0" collapsed="false">
      <c r="A205" s="32" t="s">
        <v>133</v>
      </c>
      <c r="B205" s="32" t="s">
        <v>134</v>
      </c>
      <c r="C205" s="33" t="s">
        <v>135</v>
      </c>
      <c r="D205" s="34" t="s">
        <v>136</v>
      </c>
      <c r="E205" s="34" t="s">
        <v>137</v>
      </c>
    </row>
    <row r="206" customFormat="false" ht="15" hidden="false" customHeight="true" outlineLevel="0" collapsed="false">
      <c r="A206" s="35" t="s">
        <v>138</v>
      </c>
      <c r="B206" s="36" t="s">
        <v>139</v>
      </c>
      <c r="C206" s="37" t="n">
        <v>0</v>
      </c>
      <c r="D206" s="38" t="n">
        <f aca="false">C206/C204*D204</f>
        <v>0</v>
      </c>
      <c r="E206" s="39" t="n">
        <f aca="false">SUM(D206:D214)</f>
        <v>0</v>
      </c>
    </row>
    <row r="207" customFormat="false" ht="15" hidden="false" customHeight="false" outlineLevel="0" collapsed="false">
      <c r="A207" s="35"/>
      <c r="B207" s="36" t="s">
        <v>140</v>
      </c>
      <c r="C207" s="37" t="n">
        <v>0</v>
      </c>
      <c r="D207" s="38" t="n">
        <f aca="false">C207/C204*D204</f>
        <v>0</v>
      </c>
      <c r="E207" s="39"/>
    </row>
    <row r="208" customFormat="false" ht="25.5" hidden="false" customHeight="false" outlineLevel="0" collapsed="false">
      <c r="A208" s="35"/>
      <c r="B208" s="36" t="s">
        <v>106</v>
      </c>
      <c r="C208" s="37" t="n">
        <v>0</v>
      </c>
      <c r="D208" s="38" t="n">
        <f aca="false">C208/C204*D204</f>
        <v>0</v>
      </c>
      <c r="E208" s="39"/>
    </row>
    <row r="209" customFormat="false" ht="15" hidden="false" customHeight="false" outlineLevel="0" collapsed="false">
      <c r="A209" s="35"/>
      <c r="B209" s="36" t="s">
        <v>141</v>
      </c>
      <c r="C209" s="37" t="n">
        <v>0</v>
      </c>
      <c r="D209" s="38" t="n">
        <f aca="false">C209/C204*D204</f>
        <v>0</v>
      </c>
      <c r="E209" s="39"/>
    </row>
    <row r="210" customFormat="false" ht="15" hidden="false" customHeight="false" outlineLevel="0" collapsed="false">
      <c r="A210" s="35"/>
      <c r="B210" s="36" t="s">
        <v>142</v>
      </c>
      <c r="C210" s="37" t="n">
        <v>0</v>
      </c>
      <c r="D210" s="38" t="n">
        <f aca="false">C210/C204*D204</f>
        <v>0</v>
      </c>
      <c r="E210" s="39"/>
    </row>
    <row r="211" customFormat="false" ht="15" hidden="false" customHeight="false" outlineLevel="0" collapsed="false">
      <c r="A211" s="35"/>
      <c r="B211" s="36" t="s">
        <v>143</v>
      </c>
      <c r="C211" s="37" t="n">
        <v>0</v>
      </c>
      <c r="D211" s="38" t="n">
        <f aca="false">C211/C204*D204</f>
        <v>0</v>
      </c>
      <c r="E211" s="39"/>
    </row>
    <row r="212" customFormat="false" ht="15" hidden="false" customHeight="false" outlineLevel="0" collapsed="false">
      <c r="A212" s="35"/>
      <c r="B212" s="36" t="s">
        <v>144</v>
      </c>
      <c r="C212" s="37" t="n">
        <v>0</v>
      </c>
      <c r="D212" s="38" t="n">
        <f aca="false">C212/C204*D204</f>
        <v>0</v>
      </c>
      <c r="E212" s="39"/>
    </row>
    <row r="213" customFormat="false" ht="15" hidden="false" customHeight="false" outlineLevel="0" collapsed="false">
      <c r="A213" s="35"/>
      <c r="B213" s="36" t="s">
        <v>145</v>
      </c>
      <c r="C213" s="37" t="n">
        <v>0</v>
      </c>
      <c r="D213" s="38" t="n">
        <f aca="false">C213/C204*D204</f>
        <v>0</v>
      </c>
      <c r="E213" s="39"/>
    </row>
    <row r="214" customFormat="false" ht="25.5" hidden="false" customHeight="false" outlineLevel="0" collapsed="false">
      <c r="A214" s="35"/>
      <c r="B214" s="36" t="s">
        <v>146</v>
      </c>
      <c r="C214" s="37" t="n">
        <v>0</v>
      </c>
      <c r="D214" s="38" t="n">
        <f aca="false">C214/C204*D204</f>
        <v>0</v>
      </c>
      <c r="E214" s="39"/>
    </row>
    <row r="215" customFormat="false" ht="38.25" hidden="false" customHeight="false" outlineLevel="0" collapsed="false">
      <c r="A215" s="40" t="s">
        <v>80</v>
      </c>
      <c r="B215" s="36" t="s">
        <v>147</v>
      </c>
      <c r="C215" s="37" t="n">
        <v>0</v>
      </c>
      <c r="D215" s="38" t="n">
        <f aca="false">C215/C204*D204</f>
        <v>0</v>
      </c>
      <c r="E215" s="39" t="n">
        <f aca="false">SUM(D215:D217)</f>
        <v>0</v>
      </c>
    </row>
    <row r="216" customFormat="false" ht="25.5" hidden="false" customHeight="false" outlineLevel="0" collapsed="false">
      <c r="A216" s="40"/>
      <c r="B216" s="36" t="s">
        <v>148</v>
      </c>
      <c r="C216" s="37" t="n">
        <v>0</v>
      </c>
      <c r="D216" s="38" t="n">
        <f aca="false">C216/C204*D204</f>
        <v>0</v>
      </c>
      <c r="E216" s="39"/>
    </row>
    <row r="217" customFormat="false" ht="15" hidden="false" customHeight="false" outlineLevel="0" collapsed="false">
      <c r="A217" s="40"/>
      <c r="B217" s="36" t="s">
        <v>79</v>
      </c>
      <c r="C217" s="37" t="n">
        <v>0</v>
      </c>
      <c r="D217" s="38" t="n">
        <f aca="false">C217/C204*D204</f>
        <v>0</v>
      </c>
      <c r="E217" s="39"/>
    </row>
    <row r="218" customFormat="false" ht="15" hidden="false" customHeight="false" outlineLevel="0" collapsed="false">
      <c r="A218" s="41" t="s">
        <v>121</v>
      </c>
      <c r="B218" s="36" t="s">
        <v>149</v>
      </c>
      <c r="C218" s="37" t="n">
        <v>0</v>
      </c>
      <c r="D218" s="38" t="n">
        <f aca="false">C218/C204*D204</f>
        <v>0</v>
      </c>
      <c r="E218" s="39" t="n">
        <f aca="false">SUM(D218:D219)</f>
        <v>0</v>
      </c>
    </row>
    <row r="219" customFormat="false" ht="25.5" hidden="false" customHeight="false" outlineLevel="0" collapsed="false">
      <c r="A219" s="41"/>
      <c r="B219" s="36" t="s">
        <v>120</v>
      </c>
      <c r="C219" s="37" t="n">
        <v>0</v>
      </c>
      <c r="D219" s="38" t="n">
        <f aca="false">C219/C204*D204</f>
        <v>0</v>
      </c>
      <c r="E219" s="39"/>
    </row>
    <row r="220" customFormat="false" ht="15" hidden="false" customHeight="true" outlineLevel="0" collapsed="false">
      <c r="A220" s="42" t="s">
        <v>150</v>
      </c>
      <c r="B220" s="36" t="s">
        <v>95</v>
      </c>
      <c r="C220" s="37" t="n">
        <v>0</v>
      </c>
      <c r="D220" s="38" t="n">
        <f aca="false">C220/C204*D204</f>
        <v>0</v>
      </c>
      <c r="E220" s="39" t="n">
        <f aca="false">SUM(D220:D223)</f>
        <v>0</v>
      </c>
    </row>
    <row r="221" customFormat="false" ht="25.5" hidden="false" customHeight="false" outlineLevel="0" collapsed="false">
      <c r="A221" s="42"/>
      <c r="B221" s="36" t="s">
        <v>151</v>
      </c>
      <c r="C221" s="37" t="n">
        <v>0</v>
      </c>
      <c r="D221" s="38" t="n">
        <f aca="false">C221/C204*D204</f>
        <v>0</v>
      </c>
      <c r="E221" s="39"/>
    </row>
    <row r="222" customFormat="false" ht="15" hidden="false" customHeight="false" outlineLevel="0" collapsed="false">
      <c r="A222" s="42"/>
      <c r="B222" s="36" t="s">
        <v>152</v>
      </c>
      <c r="C222" s="37" t="n">
        <v>0</v>
      </c>
      <c r="D222" s="38" t="n">
        <f aca="false">C222/C204*D204</f>
        <v>0</v>
      </c>
      <c r="E222" s="39"/>
    </row>
    <row r="223" customFormat="false" ht="25.5" hidden="false" customHeight="false" outlineLevel="0" collapsed="false">
      <c r="A223" s="42"/>
      <c r="B223" s="36" t="s">
        <v>153</v>
      </c>
      <c r="C223" s="37" t="n">
        <v>0</v>
      </c>
      <c r="D223" s="38" t="n">
        <f aca="false">C223/C204*D204</f>
        <v>0</v>
      </c>
      <c r="E223" s="39"/>
    </row>
    <row r="224" customFormat="false" ht="28.5" hidden="false" customHeight="false" outlineLevel="0" collapsed="false">
      <c r="A224" s="42" t="s">
        <v>154</v>
      </c>
      <c r="B224" s="36" t="s">
        <v>155</v>
      </c>
      <c r="C224" s="37" t="n">
        <v>0</v>
      </c>
      <c r="D224" s="38" t="n">
        <f aca="false">C224/C204*D204</f>
        <v>0</v>
      </c>
      <c r="E224" s="39" t="n">
        <f aca="false">SUM(D224)</f>
        <v>0</v>
      </c>
    </row>
    <row r="225" customFormat="false" ht="15" hidden="false" customHeight="false" outlineLevel="0" collapsed="false">
      <c r="A225" s="40" t="s">
        <v>156</v>
      </c>
      <c r="B225" s="36" t="s">
        <v>157</v>
      </c>
      <c r="C225" s="37" t="n">
        <v>0</v>
      </c>
      <c r="D225" s="38" t="n">
        <f aca="false">C225/C204*D204</f>
        <v>0</v>
      </c>
      <c r="E225" s="39" t="n">
        <f aca="false">SUM(D225:D230)</f>
        <v>1</v>
      </c>
    </row>
    <row r="226" customFormat="false" ht="15" hidden="false" customHeight="false" outlineLevel="0" collapsed="false">
      <c r="A226" s="40"/>
      <c r="B226" s="36" t="s">
        <v>158</v>
      </c>
      <c r="C226" s="37" t="n">
        <v>1</v>
      </c>
      <c r="D226" s="38" t="n">
        <f aca="false">C226/C204*D204</f>
        <v>1</v>
      </c>
      <c r="E226" s="39"/>
    </row>
    <row r="227" customFormat="false" ht="15" hidden="false" customHeight="false" outlineLevel="0" collapsed="false">
      <c r="A227" s="40"/>
      <c r="B227" s="36" t="s">
        <v>159</v>
      </c>
      <c r="C227" s="37" t="n">
        <v>0</v>
      </c>
      <c r="D227" s="38" t="n">
        <f aca="false">C227/C204*D204</f>
        <v>0</v>
      </c>
      <c r="E227" s="39"/>
    </row>
    <row r="228" customFormat="false" ht="15" hidden="false" customHeight="false" outlineLevel="0" collapsed="false">
      <c r="A228" s="40"/>
      <c r="B228" s="36" t="s">
        <v>160</v>
      </c>
      <c r="C228" s="37" t="n">
        <v>0</v>
      </c>
      <c r="D228" s="38" t="n">
        <f aca="false">C228/C204*D204</f>
        <v>0</v>
      </c>
      <c r="E228" s="39"/>
    </row>
    <row r="229" customFormat="false" ht="15.75" hidden="false" customHeight="true" outlineLevel="0" collapsed="false">
      <c r="A229" s="40"/>
      <c r="B229" s="36" t="s">
        <v>161</v>
      </c>
      <c r="C229" s="37" t="n">
        <v>0</v>
      </c>
      <c r="D229" s="38" t="n">
        <f aca="false">C229/C204*D204</f>
        <v>0</v>
      </c>
      <c r="E229" s="39"/>
    </row>
    <row r="230" customFormat="false" ht="15" hidden="false" customHeight="false" outlineLevel="0" collapsed="false">
      <c r="A230" s="40"/>
      <c r="B230" s="36" t="s">
        <v>162</v>
      </c>
      <c r="C230" s="37" t="n">
        <v>0</v>
      </c>
      <c r="D230" s="38" t="n">
        <f aca="false">C230/C204*D204</f>
        <v>0</v>
      </c>
      <c r="E230" s="39"/>
    </row>
    <row r="231" customFormat="false" ht="15" hidden="false" customHeight="false" outlineLevel="0" collapsed="false">
      <c r="A231" s="43" t="s">
        <v>163</v>
      </c>
      <c r="B231" s="43"/>
      <c r="C231" s="44" t="n">
        <f aca="false">SUM(C206:C230)</f>
        <v>1</v>
      </c>
      <c r="D231" s="38" t="n">
        <f aca="false">+C231/C204*D204</f>
        <v>1</v>
      </c>
      <c r="E231" s="39" t="n">
        <f aca="false">SUM(E206:E225)</f>
        <v>1</v>
      </c>
    </row>
    <row r="234" customFormat="false" ht="15" hidden="false" customHeight="false" outlineLevel="0" collapsed="false">
      <c r="A234" s="27" t="s">
        <v>170</v>
      </c>
      <c r="B234" s="27"/>
      <c r="C234" s="27"/>
      <c r="D234" s="27"/>
    </row>
    <row r="235" customFormat="false" ht="15" hidden="false" customHeight="false" outlineLevel="0" collapsed="false">
      <c r="A235" s="27" t="s">
        <v>131</v>
      </c>
      <c r="B235" s="27"/>
      <c r="C235" s="28" t="n">
        <v>0</v>
      </c>
      <c r="D235" s="28"/>
    </row>
    <row r="236" customFormat="false" ht="15.75" hidden="false" customHeight="true" outlineLevel="0" collapsed="false">
      <c r="A236" s="29" t="s">
        <v>132</v>
      </c>
      <c r="B236" s="29"/>
      <c r="C236" s="30" t="n">
        <f aca="false">C263</f>
        <v>4</v>
      </c>
      <c r="D236" s="31" t="n">
        <v>1</v>
      </c>
    </row>
    <row r="237" customFormat="false" ht="15" hidden="false" customHeight="false" outlineLevel="0" collapsed="false">
      <c r="A237" s="32" t="s">
        <v>133</v>
      </c>
      <c r="B237" s="32" t="s">
        <v>134</v>
      </c>
      <c r="C237" s="33" t="s">
        <v>135</v>
      </c>
      <c r="D237" s="34" t="s">
        <v>136</v>
      </c>
      <c r="E237" s="34" t="s">
        <v>137</v>
      </c>
    </row>
    <row r="238" customFormat="false" ht="15" hidden="false" customHeight="true" outlineLevel="0" collapsed="false">
      <c r="A238" s="35" t="s">
        <v>138</v>
      </c>
      <c r="B238" s="36" t="s">
        <v>139</v>
      </c>
      <c r="C238" s="37" t="n">
        <v>0</v>
      </c>
      <c r="D238" s="38" t="n">
        <f aca="false">C238/C236*D236</f>
        <v>0</v>
      </c>
      <c r="E238" s="39" t="n">
        <f aca="false">SUM(D238:D246)</f>
        <v>0</v>
      </c>
    </row>
    <row r="239" customFormat="false" ht="15" hidden="false" customHeight="false" outlineLevel="0" collapsed="false">
      <c r="A239" s="35"/>
      <c r="B239" s="36" t="s">
        <v>140</v>
      </c>
      <c r="C239" s="37" t="n">
        <v>0</v>
      </c>
      <c r="D239" s="38" t="n">
        <f aca="false">C239/C236*D236</f>
        <v>0</v>
      </c>
      <c r="E239" s="39"/>
    </row>
    <row r="240" customFormat="false" ht="25.5" hidden="false" customHeight="false" outlineLevel="0" collapsed="false">
      <c r="A240" s="35"/>
      <c r="B240" s="36" t="s">
        <v>106</v>
      </c>
      <c r="C240" s="37" t="n">
        <v>0</v>
      </c>
      <c r="D240" s="38" t="n">
        <f aca="false">C240/C236*D236</f>
        <v>0</v>
      </c>
      <c r="E240" s="39"/>
    </row>
    <row r="241" customFormat="false" ht="15" hidden="false" customHeight="false" outlineLevel="0" collapsed="false">
      <c r="A241" s="35"/>
      <c r="B241" s="36" t="s">
        <v>141</v>
      </c>
      <c r="C241" s="37" t="n">
        <v>0</v>
      </c>
      <c r="D241" s="38" t="n">
        <f aca="false">C241/C236*D236</f>
        <v>0</v>
      </c>
      <c r="E241" s="39"/>
    </row>
    <row r="242" customFormat="false" ht="15" hidden="false" customHeight="false" outlineLevel="0" collapsed="false">
      <c r="A242" s="35"/>
      <c r="B242" s="36" t="s">
        <v>142</v>
      </c>
      <c r="C242" s="37" t="n">
        <v>0</v>
      </c>
      <c r="D242" s="38" t="n">
        <f aca="false">C242/C236*D236</f>
        <v>0</v>
      </c>
      <c r="E242" s="39"/>
    </row>
    <row r="243" customFormat="false" ht="15" hidden="false" customHeight="false" outlineLevel="0" collapsed="false">
      <c r="A243" s="35"/>
      <c r="B243" s="36" t="s">
        <v>143</v>
      </c>
      <c r="C243" s="37" t="n">
        <v>0</v>
      </c>
      <c r="D243" s="38" t="n">
        <f aca="false">C243/C236*D236</f>
        <v>0</v>
      </c>
      <c r="E243" s="39"/>
    </row>
    <row r="244" customFormat="false" ht="15" hidden="false" customHeight="false" outlineLevel="0" collapsed="false">
      <c r="A244" s="35"/>
      <c r="B244" s="36" t="s">
        <v>144</v>
      </c>
      <c r="C244" s="37" t="n">
        <v>0</v>
      </c>
      <c r="D244" s="38" t="n">
        <f aca="false">C244/C236*D236</f>
        <v>0</v>
      </c>
      <c r="E244" s="39"/>
    </row>
    <row r="245" customFormat="false" ht="15" hidden="false" customHeight="false" outlineLevel="0" collapsed="false">
      <c r="A245" s="35"/>
      <c r="B245" s="36" t="s">
        <v>145</v>
      </c>
      <c r="C245" s="37" t="n">
        <v>0</v>
      </c>
      <c r="D245" s="38" t="n">
        <f aca="false">C245/C236*D236</f>
        <v>0</v>
      </c>
      <c r="E245" s="39"/>
    </row>
    <row r="246" customFormat="false" ht="25.5" hidden="false" customHeight="false" outlineLevel="0" collapsed="false">
      <c r="A246" s="35"/>
      <c r="B246" s="36" t="s">
        <v>146</v>
      </c>
      <c r="C246" s="37" t="n">
        <v>0</v>
      </c>
      <c r="D246" s="38" t="n">
        <f aca="false">C246/C236*D236</f>
        <v>0</v>
      </c>
      <c r="E246" s="39"/>
    </row>
    <row r="247" customFormat="false" ht="38.25" hidden="false" customHeight="false" outlineLevel="0" collapsed="false">
      <c r="A247" s="40" t="s">
        <v>80</v>
      </c>
      <c r="B247" s="36" t="s">
        <v>147</v>
      </c>
      <c r="C247" s="37" t="n">
        <v>0</v>
      </c>
      <c r="D247" s="38" t="n">
        <f aca="false">C247/C236*D236</f>
        <v>0</v>
      </c>
      <c r="E247" s="39" t="n">
        <f aca="false">SUM(D247:D249)</f>
        <v>0</v>
      </c>
    </row>
    <row r="248" customFormat="false" ht="25.5" hidden="false" customHeight="false" outlineLevel="0" collapsed="false">
      <c r="A248" s="40"/>
      <c r="B248" s="36" t="s">
        <v>148</v>
      </c>
      <c r="C248" s="37" t="n">
        <v>0</v>
      </c>
      <c r="D248" s="38" t="n">
        <f aca="false">C248/C236*D236</f>
        <v>0</v>
      </c>
      <c r="E248" s="39"/>
    </row>
    <row r="249" customFormat="false" ht="15" hidden="false" customHeight="false" outlineLevel="0" collapsed="false">
      <c r="A249" s="40"/>
      <c r="B249" s="36" t="s">
        <v>79</v>
      </c>
      <c r="C249" s="37" t="n">
        <v>0</v>
      </c>
      <c r="D249" s="38" t="n">
        <f aca="false">C249/C236*D236</f>
        <v>0</v>
      </c>
      <c r="E249" s="39"/>
    </row>
    <row r="250" customFormat="false" ht="15" hidden="false" customHeight="false" outlineLevel="0" collapsed="false">
      <c r="A250" s="41" t="s">
        <v>121</v>
      </c>
      <c r="B250" s="36" t="s">
        <v>149</v>
      </c>
      <c r="C250" s="37" t="n">
        <v>0</v>
      </c>
      <c r="D250" s="38" t="n">
        <f aca="false">C250/C236*D236</f>
        <v>0</v>
      </c>
      <c r="E250" s="39" t="n">
        <f aca="false">SUM(D250:D251)</f>
        <v>0.5</v>
      </c>
    </row>
    <row r="251" customFormat="false" ht="25.5" hidden="false" customHeight="false" outlineLevel="0" collapsed="false">
      <c r="A251" s="41"/>
      <c r="B251" s="36" t="s">
        <v>120</v>
      </c>
      <c r="C251" s="37" t="n">
        <v>2</v>
      </c>
      <c r="D251" s="38" t="n">
        <f aca="false">C251/C236*D236</f>
        <v>0.5</v>
      </c>
      <c r="E251" s="39"/>
    </row>
    <row r="252" customFormat="false" ht="15" hidden="false" customHeight="true" outlineLevel="0" collapsed="false">
      <c r="A252" s="42" t="s">
        <v>150</v>
      </c>
      <c r="B252" s="36" t="s">
        <v>95</v>
      </c>
      <c r="C252" s="37" t="n">
        <v>1</v>
      </c>
      <c r="D252" s="38" t="n">
        <f aca="false">C252/C236*D236</f>
        <v>0.25</v>
      </c>
      <c r="E252" s="39" t="n">
        <f aca="false">SUM(D252:D255)</f>
        <v>0.25</v>
      </c>
    </row>
    <row r="253" customFormat="false" ht="25.5" hidden="false" customHeight="false" outlineLevel="0" collapsed="false">
      <c r="A253" s="42"/>
      <c r="B253" s="36" t="s">
        <v>151</v>
      </c>
      <c r="C253" s="37" t="n">
        <v>0</v>
      </c>
      <c r="D253" s="38" t="n">
        <f aca="false">C253/C236*D236</f>
        <v>0</v>
      </c>
      <c r="E253" s="39"/>
    </row>
    <row r="254" customFormat="false" ht="15" hidden="false" customHeight="false" outlineLevel="0" collapsed="false">
      <c r="A254" s="42"/>
      <c r="B254" s="36" t="s">
        <v>152</v>
      </c>
      <c r="C254" s="37" t="n">
        <v>0</v>
      </c>
      <c r="D254" s="38" t="n">
        <f aca="false">C254/C236*D236</f>
        <v>0</v>
      </c>
      <c r="E254" s="39"/>
    </row>
    <row r="255" customFormat="false" ht="25.5" hidden="false" customHeight="false" outlineLevel="0" collapsed="false">
      <c r="A255" s="42"/>
      <c r="B255" s="36" t="s">
        <v>153</v>
      </c>
      <c r="C255" s="37" t="n">
        <v>0</v>
      </c>
      <c r="D255" s="38" t="n">
        <f aca="false">C255/C236*D236</f>
        <v>0</v>
      </c>
      <c r="E255" s="39"/>
    </row>
    <row r="256" customFormat="false" ht="28.5" hidden="false" customHeight="false" outlineLevel="0" collapsed="false">
      <c r="A256" s="42" t="s">
        <v>154</v>
      </c>
      <c r="B256" s="36" t="s">
        <v>155</v>
      </c>
      <c r="C256" s="37" t="n">
        <v>0</v>
      </c>
      <c r="D256" s="38" t="n">
        <f aca="false">C256/C236*D236</f>
        <v>0</v>
      </c>
      <c r="E256" s="39" t="n">
        <f aca="false">SUM(D256)</f>
        <v>0</v>
      </c>
    </row>
    <row r="257" customFormat="false" ht="15" hidden="false" customHeight="false" outlineLevel="0" collapsed="false">
      <c r="A257" s="40" t="s">
        <v>156</v>
      </c>
      <c r="B257" s="36" t="s">
        <v>157</v>
      </c>
      <c r="C257" s="37" t="n">
        <v>0</v>
      </c>
      <c r="D257" s="38" t="n">
        <f aca="false">C257/C236*D236</f>
        <v>0</v>
      </c>
      <c r="E257" s="39" t="n">
        <f aca="false">SUM(D257:D262)</f>
        <v>0.25</v>
      </c>
    </row>
    <row r="258" customFormat="false" ht="15" hidden="false" customHeight="false" outlineLevel="0" collapsed="false">
      <c r="A258" s="40"/>
      <c r="B258" s="36" t="s">
        <v>158</v>
      </c>
      <c r="C258" s="37" t="n">
        <v>0</v>
      </c>
      <c r="D258" s="38" t="n">
        <f aca="false">C258/C236*D236</f>
        <v>0</v>
      </c>
      <c r="E258" s="39"/>
    </row>
    <row r="259" customFormat="false" ht="15" hidden="false" customHeight="false" outlineLevel="0" collapsed="false">
      <c r="A259" s="40"/>
      <c r="B259" s="36" t="s">
        <v>159</v>
      </c>
      <c r="C259" s="37" t="n">
        <v>0</v>
      </c>
      <c r="D259" s="38" t="n">
        <f aca="false">C259/C236*D236</f>
        <v>0</v>
      </c>
      <c r="E259" s="39"/>
    </row>
    <row r="260" customFormat="false" ht="15" hidden="false" customHeight="false" outlineLevel="0" collapsed="false">
      <c r="A260" s="40"/>
      <c r="B260" s="36" t="s">
        <v>160</v>
      </c>
      <c r="C260" s="37" t="n">
        <v>0</v>
      </c>
      <c r="D260" s="38" t="n">
        <f aca="false">C260/C236*D236</f>
        <v>0</v>
      </c>
      <c r="E260" s="39"/>
    </row>
    <row r="261" customFormat="false" ht="15" hidden="false" customHeight="false" outlineLevel="0" collapsed="false">
      <c r="A261" s="40"/>
      <c r="B261" s="36" t="s">
        <v>161</v>
      </c>
      <c r="C261" s="37" t="n">
        <v>0</v>
      </c>
      <c r="D261" s="38" t="n">
        <f aca="false">C261/C236*D236</f>
        <v>0</v>
      </c>
      <c r="E261" s="39"/>
    </row>
    <row r="262" customFormat="false" ht="15" hidden="false" customHeight="false" outlineLevel="0" collapsed="false">
      <c r="A262" s="40"/>
      <c r="B262" s="36" t="s">
        <v>162</v>
      </c>
      <c r="C262" s="37" t="n">
        <v>1</v>
      </c>
      <c r="D262" s="38" t="n">
        <f aca="false">C262/C236*D236</f>
        <v>0.25</v>
      </c>
      <c r="E262" s="39"/>
    </row>
    <row r="263" customFormat="false" ht="15" hidden="false" customHeight="false" outlineLevel="0" collapsed="false">
      <c r="A263" s="43" t="s">
        <v>163</v>
      </c>
      <c r="B263" s="43"/>
      <c r="C263" s="44" t="n">
        <f aca="false">SUM(C238:C262)</f>
        <v>4</v>
      </c>
      <c r="D263" s="38" t="n">
        <f aca="false">+C263/C236*D236</f>
        <v>1</v>
      </c>
      <c r="E263" s="39" t="n">
        <f aca="false">SUM(E238:E257)</f>
        <v>1</v>
      </c>
    </row>
    <row r="266" customFormat="false" ht="15" hidden="false" customHeight="false" outlineLevel="0" collapsed="false">
      <c r="A266" s="27" t="s">
        <v>171</v>
      </c>
      <c r="B266" s="27"/>
      <c r="C266" s="27"/>
      <c r="D266" s="27"/>
    </row>
    <row r="267" customFormat="false" ht="15" hidden="false" customHeight="false" outlineLevel="0" collapsed="false">
      <c r="A267" s="27" t="s">
        <v>131</v>
      </c>
      <c r="B267" s="27"/>
      <c r="C267" s="28" t="n">
        <v>0</v>
      </c>
      <c r="D267" s="28"/>
    </row>
    <row r="268" customFormat="false" ht="15.75" hidden="false" customHeight="true" outlineLevel="0" collapsed="false">
      <c r="A268" s="29" t="s">
        <v>132</v>
      </c>
      <c r="B268" s="29"/>
      <c r="C268" s="30" t="n">
        <f aca="false">C295</f>
        <v>18</v>
      </c>
      <c r="D268" s="31" t="n">
        <v>1</v>
      </c>
    </row>
    <row r="269" customFormat="false" ht="15" hidden="false" customHeight="false" outlineLevel="0" collapsed="false">
      <c r="A269" s="32" t="s">
        <v>133</v>
      </c>
      <c r="B269" s="32" t="s">
        <v>134</v>
      </c>
      <c r="C269" s="33" t="s">
        <v>135</v>
      </c>
      <c r="D269" s="34" t="s">
        <v>136</v>
      </c>
      <c r="E269" s="34" t="s">
        <v>137</v>
      </c>
    </row>
    <row r="270" customFormat="false" ht="15" hidden="false" customHeight="true" outlineLevel="0" collapsed="false">
      <c r="A270" s="35" t="s">
        <v>138</v>
      </c>
      <c r="B270" s="36" t="s">
        <v>139</v>
      </c>
      <c r="C270" s="37" t="n">
        <v>0</v>
      </c>
      <c r="D270" s="38" t="n">
        <f aca="false">C270/C268*D268</f>
        <v>0</v>
      </c>
      <c r="E270" s="39" t="n">
        <f aca="false">SUM(D270:D278)</f>
        <v>0.0555555555555556</v>
      </c>
    </row>
    <row r="271" customFormat="false" ht="15" hidden="false" customHeight="false" outlineLevel="0" collapsed="false">
      <c r="A271" s="35"/>
      <c r="B271" s="36" t="s">
        <v>140</v>
      </c>
      <c r="C271" s="37" t="n">
        <v>0</v>
      </c>
      <c r="D271" s="38" t="n">
        <f aca="false">C271/C268*D268</f>
        <v>0</v>
      </c>
      <c r="E271" s="39"/>
    </row>
    <row r="272" customFormat="false" ht="25.5" hidden="false" customHeight="false" outlineLevel="0" collapsed="false">
      <c r="A272" s="35"/>
      <c r="B272" s="36" t="s">
        <v>106</v>
      </c>
      <c r="C272" s="37" t="n">
        <v>0</v>
      </c>
      <c r="D272" s="38" t="n">
        <f aca="false">C272/C268*D268</f>
        <v>0</v>
      </c>
      <c r="E272" s="39"/>
    </row>
    <row r="273" customFormat="false" ht="15" hidden="false" customHeight="false" outlineLevel="0" collapsed="false">
      <c r="A273" s="35"/>
      <c r="B273" s="36" t="s">
        <v>141</v>
      </c>
      <c r="C273" s="37" t="n">
        <v>0</v>
      </c>
      <c r="D273" s="38" t="n">
        <f aca="false">C273/C268*D268</f>
        <v>0</v>
      </c>
      <c r="E273" s="39"/>
    </row>
    <row r="274" customFormat="false" ht="15" hidden="false" customHeight="false" outlineLevel="0" collapsed="false">
      <c r="A274" s="35"/>
      <c r="B274" s="36" t="s">
        <v>142</v>
      </c>
      <c r="C274" s="37" t="n">
        <v>0</v>
      </c>
      <c r="D274" s="38" t="n">
        <f aca="false">C274/C268*D268</f>
        <v>0</v>
      </c>
      <c r="E274" s="39"/>
    </row>
    <row r="275" customFormat="false" ht="15" hidden="false" customHeight="false" outlineLevel="0" collapsed="false">
      <c r="A275" s="35"/>
      <c r="B275" s="36" t="s">
        <v>143</v>
      </c>
      <c r="C275" s="37" t="n">
        <v>0</v>
      </c>
      <c r="D275" s="38" t="n">
        <f aca="false">C275/C268*D268</f>
        <v>0</v>
      </c>
      <c r="E275" s="39"/>
    </row>
    <row r="276" customFormat="false" ht="15" hidden="false" customHeight="false" outlineLevel="0" collapsed="false">
      <c r="A276" s="35"/>
      <c r="B276" s="36" t="s">
        <v>144</v>
      </c>
      <c r="C276" s="37" t="n">
        <v>0</v>
      </c>
      <c r="D276" s="38" t="n">
        <f aca="false">C276/C268*D268</f>
        <v>0</v>
      </c>
      <c r="E276" s="39"/>
    </row>
    <row r="277" customFormat="false" ht="15" hidden="false" customHeight="false" outlineLevel="0" collapsed="false">
      <c r="A277" s="35"/>
      <c r="B277" s="36" t="s">
        <v>145</v>
      </c>
      <c r="C277" s="37" t="n">
        <v>0</v>
      </c>
      <c r="D277" s="38" t="n">
        <f aca="false">C277/C268*D268</f>
        <v>0</v>
      </c>
      <c r="E277" s="39"/>
    </row>
    <row r="278" customFormat="false" ht="25.5" hidden="false" customHeight="false" outlineLevel="0" collapsed="false">
      <c r="A278" s="35"/>
      <c r="B278" s="36" t="s">
        <v>146</v>
      </c>
      <c r="C278" s="37" t="n">
        <v>1</v>
      </c>
      <c r="D278" s="38" t="n">
        <f aca="false">C278/C268*D268</f>
        <v>0.0555555555555556</v>
      </c>
      <c r="E278" s="39"/>
    </row>
    <row r="279" customFormat="false" ht="38.25" hidden="false" customHeight="false" outlineLevel="0" collapsed="false">
      <c r="A279" s="40" t="s">
        <v>80</v>
      </c>
      <c r="B279" s="36" t="s">
        <v>147</v>
      </c>
      <c r="C279" s="37" t="n">
        <v>0</v>
      </c>
      <c r="D279" s="38" t="n">
        <f aca="false">C279/C268*D268</f>
        <v>0</v>
      </c>
      <c r="E279" s="39" t="n">
        <f aca="false">SUM(D279:D281)</f>
        <v>0.222222222222222</v>
      </c>
    </row>
    <row r="280" customFormat="false" ht="25.5" hidden="false" customHeight="false" outlineLevel="0" collapsed="false">
      <c r="A280" s="40"/>
      <c r="B280" s="36" t="s">
        <v>148</v>
      </c>
      <c r="C280" s="37" t="n">
        <v>0</v>
      </c>
      <c r="D280" s="38" t="n">
        <f aca="false">C280/C268*D268</f>
        <v>0</v>
      </c>
      <c r="E280" s="39"/>
    </row>
    <row r="281" customFormat="false" ht="15" hidden="false" customHeight="false" outlineLevel="0" collapsed="false">
      <c r="A281" s="40"/>
      <c r="B281" s="36" t="s">
        <v>79</v>
      </c>
      <c r="C281" s="37" t="n">
        <v>4</v>
      </c>
      <c r="D281" s="38" t="n">
        <f aca="false">C281/C268*D268</f>
        <v>0.222222222222222</v>
      </c>
      <c r="E281" s="39"/>
    </row>
    <row r="282" customFormat="false" ht="15" hidden="false" customHeight="false" outlineLevel="0" collapsed="false">
      <c r="A282" s="41" t="s">
        <v>121</v>
      </c>
      <c r="B282" s="36" t="s">
        <v>149</v>
      </c>
      <c r="C282" s="37" t="n">
        <v>0</v>
      </c>
      <c r="D282" s="38" t="n">
        <f aca="false">C282/C268*D268</f>
        <v>0</v>
      </c>
      <c r="E282" s="39" t="n">
        <f aca="false">SUM(D282:D283)</f>
        <v>0.444444444444444</v>
      </c>
    </row>
    <row r="283" customFormat="false" ht="25.5" hidden="false" customHeight="false" outlineLevel="0" collapsed="false">
      <c r="A283" s="41"/>
      <c r="B283" s="36" t="s">
        <v>120</v>
      </c>
      <c r="C283" s="37" t="n">
        <v>8</v>
      </c>
      <c r="D283" s="38" t="n">
        <f aca="false">C283/C268*D268</f>
        <v>0.444444444444444</v>
      </c>
      <c r="E283" s="39"/>
    </row>
    <row r="284" customFormat="false" ht="15" hidden="false" customHeight="true" outlineLevel="0" collapsed="false">
      <c r="A284" s="42" t="s">
        <v>150</v>
      </c>
      <c r="B284" s="36" t="s">
        <v>95</v>
      </c>
      <c r="C284" s="37" t="n">
        <v>2</v>
      </c>
      <c r="D284" s="38" t="n">
        <f aca="false">C284/C268*D268</f>
        <v>0.111111111111111</v>
      </c>
      <c r="E284" s="39" t="n">
        <f aca="false">SUM(D284:D287)</f>
        <v>0.111111111111111</v>
      </c>
    </row>
    <row r="285" customFormat="false" ht="25.5" hidden="false" customHeight="false" outlineLevel="0" collapsed="false">
      <c r="A285" s="42"/>
      <c r="B285" s="36" t="s">
        <v>151</v>
      </c>
      <c r="C285" s="37" t="n">
        <v>0</v>
      </c>
      <c r="D285" s="38" t="n">
        <f aca="false">C285/C268*D268</f>
        <v>0</v>
      </c>
      <c r="E285" s="39"/>
    </row>
    <row r="286" customFormat="false" ht="15" hidden="false" customHeight="false" outlineLevel="0" collapsed="false">
      <c r="A286" s="42"/>
      <c r="B286" s="36" t="s">
        <v>152</v>
      </c>
      <c r="C286" s="37" t="n">
        <v>0</v>
      </c>
      <c r="D286" s="38" t="n">
        <f aca="false">C286/C268*D268</f>
        <v>0</v>
      </c>
      <c r="E286" s="39"/>
    </row>
    <row r="287" customFormat="false" ht="25.5" hidden="false" customHeight="false" outlineLevel="0" collapsed="false">
      <c r="A287" s="42"/>
      <c r="B287" s="36" t="s">
        <v>153</v>
      </c>
      <c r="C287" s="37" t="n">
        <v>0</v>
      </c>
      <c r="D287" s="38" t="n">
        <f aca="false">C287/C268*D268</f>
        <v>0</v>
      </c>
      <c r="E287" s="39"/>
    </row>
    <row r="288" customFormat="false" ht="28.5" hidden="false" customHeight="false" outlineLevel="0" collapsed="false">
      <c r="A288" s="42" t="s">
        <v>154</v>
      </c>
      <c r="B288" s="36" t="s">
        <v>155</v>
      </c>
      <c r="C288" s="37" t="n">
        <v>0</v>
      </c>
      <c r="D288" s="38" t="n">
        <f aca="false">C288/C268*D268</f>
        <v>0</v>
      </c>
      <c r="E288" s="39" t="n">
        <f aca="false">SUM(D288)</f>
        <v>0</v>
      </c>
    </row>
    <row r="289" customFormat="false" ht="15" hidden="false" customHeight="false" outlineLevel="0" collapsed="false">
      <c r="A289" s="40" t="s">
        <v>156</v>
      </c>
      <c r="B289" s="36" t="s">
        <v>157</v>
      </c>
      <c r="C289" s="37" t="n">
        <v>0</v>
      </c>
      <c r="D289" s="38" t="n">
        <f aca="false">C289/C268*D268</f>
        <v>0</v>
      </c>
      <c r="E289" s="39" t="n">
        <f aca="false">SUM(D289:D294)</f>
        <v>0.166666666666667</v>
      </c>
    </row>
    <row r="290" customFormat="false" ht="15" hidden="false" customHeight="false" outlineLevel="0" collapsed="false">
      <c r="A290" s="40"/>
      <c r="B290" s="36" t="s">
        <v>158</v>
      </c>
      <c r="C290" s="37" t="n">
        <v>3</v>
      </c>
      <c r="D290" s="38" t="n">
        <f aca="false">C290/C268*D268</f>
        <v>0.166666666666667</v>
      </c>
      <c r="E290" s="39"/>
    </row>
    <row r="291" customFormat="false" ht="15" hidden="false" customHeight="false" outlineLevel="0" collapsed="false">
      <c r="A291" s="40"/>
      <c r="B291" s="36" t="s">
        <v>159</v>
      </c>
      <c r="C291" s="37" t="n">
        <v>0</v>
      </c>
      <c r="D291" s="38" t="n">
        <f aca="false">C291/C268*D268</f>
        <v>0</v>
      </c>
      <c r="E291" s="39"/>
    </row>
    <row r="292" customFormat="false" ht="15" hidden="false" customHeight="false" outlineLevel="0" collapsed="false">
      <c r="A292" s="40"/>
      <c r="B292" s="36" t="s">
        <v>160</v>
      </c>
      <c r="C292" s="37" t="n">
        <v>0</v>
      </c>
      <c r="D292" s="38" t="n">
        <f aca="false">C292/C268*D268</f>
        <v>0</v>
      </c>
      <c r="E292" s="39"/>
    </row>
    <row r="293" customFormat="false" ht="15" hidden="false" customHeight="false" outlineLevel="0" collapsed="false">
      <c r="A293" s="40"/>
      <c r="B293" s="36" t="s">
        <v>161</v>
      </c>
      <c r="C293" s="37" t="n">
        <v>0</v>
      </c>
      <c r="D293" s="38" t="n">
        <f aca="false">C293/C268*D268</f>
        <v>0</v>
      </c>
      <c r="E293" s="39"/>
    </row>
    <row r="294" customFormat="false" ht="15" hidden="false" customHeight="false" outlineLevel="0" collapsed="false">
      <c r="A294" s="40"/>
      <c r="B294" s="36" t="s">
        <v>162</v>
      </c>
      <c r="C294" s="37" t="n">
        <v>0</v>
      </c>
      <c r="D294" s="38" t="n">
        <f aca="false">C294/C268*D268</f>
        <v>0</v>
      </c>
      <c r="E294" s="39"/>
    </row>
    <row r="295" customFormat="false" ht="15" hidden="false" customHeight="false" outlineLevel="0" collapsed="false">
      <c r="A295" s="43" t="s">
        <v>163</v>
      </c>
      <c r="B295" s="43"/>
      <c r="C295" s="44" t="n">
        <f aca="false">SUM(C270:C294)</f>
        <v>18</v>
      </c>
      <c r="D295" s="38" t="n">
        <f aca="false">+C295/C268*D268</f>
        <v>1</v>
      </c>
      <c r="E295" s="39" t="n">
        <f aca="false">SUM(E270:E289)</f>
        <v>1</v>
      </c>
    </row>
    <row r="298" customFormat="false" ht="15" hidden="false" customHeight="false" outlineLevel="0" collapsed="false">
      <c r="A298" s="27" t="s">
        <v>172</v>
      </c>
      <c r="B298" s="27"/>
      <c r="C298" s="27"/>
      <c r="D298" s="27"/>
    </row>
    <row r="299" customFormat="false" ht="15" hidden="false" customHeight="false" outlineLevel="0" collapsed="false">
      <c r="A299" s="27" t="s">
        <v>131</v>
      </c>
      <c r="B299" s="27"/>
      <c r="C299" s="28" t="n">
        <v>0</v>
      </c>
      <c r="D299" s="28"/>
    </row>
    <row r="300" customFormat="false" ht="15.75" hidden="false" customHeight="true" outlineLevel="0" collapsed="false">
      <c r="A300" s="29" t="s">
        <v>132</v>
      </c>
      <c r="B300" s="29"/>
      <c r="C300" s="30" t="n">
        <f aca="false">C327</f>
        <v>1</v>
      </c>
      <c r="D300" s="31" t="n">
        <v>1</v>
      </c>
    </row>
    <row r="301" customFormat="false" ht="15" hidden="false" customHeight="false" outlineLevel="0" collapsed="false">
      <c r="A301" s="32" t="s">
        <v>133</v>
      </c>
      <c r="B301" s="32" t="s">
        <v>134</v>
      </c>
      <c r="C301" s="33" t="s">
        <v>135</v>
      </c>
      <c r="D301" s="34" t="s">
        <v>136</v>
      </c>
      <c r="E301" s="34" t="s">
        <v>137</v>
      </c>
    </row>
    <row r="302" customFormat="false" ht="15" hidden="false" customHeight="true" outlineLevel="0" collapsed="false">
      <c r="A302" s="35" t="s">
        <v>138</v>
      </c>
      <c r="B302" s="36" t="s">
        <v>139</v>
      </c>
      <c r="C302" s="37" t="n">
        <v>0</v>
      </c>
      <c r="D302" s="38" t="n">
        <f aca="false">C302/C300*D300</f>
        <v>0</v>
      </c>
      <c r="E302" s="39" t="n">
        <f aca="false">SUM(D302:D310)</f>
        <v>0</v>
      </c>
    </row>
    <row r="303" customFormat="false" ht="15" hidden="false" customHeight="false" outlineLevel="0" collapsed="false">
      <c r="A303" s="35"/>
      <c r="B303" s="36" t="s">
        <v>140</v>
      </c>
      <c r="C303" s="37" t="n">
        <v>0</v>
      </c>
      <c r="D303" s="38" t="n">
        <f aca="false">C303/C300*D300</f>
        <v>0</v>
      </c>
      <c r="E303" s="39"/>
    </row>
    <row r="304" customFormat="false" ht="25.5" hidden="false" customHeight="false" outlineLevel="0" collapsed="false">
      <c r="A304" s="35"/>
      <c r="B304" s="36" t="s">
        <v>106</v>
      </c>
      <c r="C304" s="37" t="n">
        <v>0</v>
      </c>
      <c r="D304" s="38" t="n">
        <f aca="false">C304/C300*D300</f>
        <v>0</v>
      </c>
      <c r="E304" s="39"/>
    </row>
    <row r="305" customFormat="false" ht="15" hidden="false" customHeight="false" outlineLevel="0" collapsed="false">
      <c r="A305" s="35"/>
      <c r="B305" s="36" t="s">
        <v>141</v>
      </c>
      <c r="C305" s="37" t="n">
        <v>0</v>
      </c>
      <c r="D305" s="38" t="n">
        <f aca="false">C305/C300*D300</f>
        <v>0</v>
      </c>
      <c r="E305" s="39"/>
    </row>
    <row r="306" customFormat="false" ht="15" hidden="false" customHeight="false" outlineLevel="0" collapsed="false">
      <c r="A306" s="35"/>
      <c r="B306" s="36" t="s">
        <v>142</v>
      </c>
      <c r="C306" s="37" t="n">
        <v>0</v>
      </c>
      <c r="D306" s="38" t="n">
        <f aca="false">C306/C300*D300</f>
        <v>0</v>
      </c>
      <c r="E306" s="39"/>
    </row>
    <row r="307" customFormat="false" ht="15" hidden="false" customHeight="false" outlineLevel="0" collapsed="false">
      <c r="A307" s="35"/>
      <c r="B307" s="36" t="s">
        <v>143</v>
      </c>
      <c r="C307" s="37" t="n">
        <v>0</v>
      </c>
      <c r="D307" s="38" t="n">
        <f aca="false">C307/C300*D300</f>
        <v>0</v>
      </c>
      <c r="E307" s="39"/>
    </row>
    <row r="308" customFormat="false" ht="15" hidden="false" customHeight="false" outlineLevel="0" collapsed="false">
      <c r="A308" s="35"/>
      <c r="B308" s="36" t="s">
        <v>144</v>
      </c>
      <c r="C308" s="37" t="n">
        <v>0</v>
      </c>
      <c r="D308" s="38" t="n">
        <f aca="false">C308/C300*D300</f>
        <v>0</v>
      </c>
      <c r="E308" s="39"/>
    </row>
    <row r="309" customFormat="false" ht="15" hidden="false" customHeight="false" outlineLevel="0" collapsed="false">
      <c r="A309" s="35"/>
      <c r="B309" s="36" t="s">
        <v>145</v>
      </c>
      <c r="C309" s="37" t="n">
        <v>0</v>
      </c>
      <c r="D309" s="38" t="n">
        <f aca="false">C309/C300*D300</f>
        <v>0</v>
      </c>
      <c r="E309" s="39"/>
    </row>
    <row r="310" customFormat="false" ht="25.5" hidden="false" customHeight="false" outlineLevel="0" collapsed="false">
      <c r="A310" s="35"/>
      <c r="B310" s="36" t="s">
        <v>146</v>
      </c>
      <c r="C310" s="37" t="n">
        <v>0</v>
      </c>
      <c r="D310" s="38" t="n">
        <f aca="false">C310/C300*D300</f>
        <v>0</v>
      </c>
      <c r="E310" s="39"/>
    </row>
    <row r="311" customFormat="false" ht="38.25" hidden="false" customHeight="false" outlineLevel="0" collapsed="false">
      <c r="A311" s="40" t="s">
        <v>80</v>
      </c>
      <c r="B311" s="36" t="s">
        <v>147</v>
      </c>
      <c r="C311" s="37" t="n">
        <v>0</v>
      </c>
      <c r="D311" s="38" t="n">
        <f aca="false">C311/C300*D300</f>
        <v>0</v>
      </c>
      <c r="E311" s="39" t="n">
        <f aca="false">SUM(D311:D313)</f>
        <v>0</v>
      </c>
    </row>
    <row r="312" customFormat="false" ht="25.5" hidden="false" customHeight="false" outlineLevel="0" collapsed="false">
      <c r="A312" s="40"/>
      <c r="B312" s="36" t="s">
        <v>148</v>
      </c>
      <c r="C312" s="37" t="n">
        <v>0</v>
      </c>
      <c r="D312" s="38" t="n">
        <f aca="false">C312/C300*D300</f>
        <v>0</v>
      </c>
      <c r="E312" s="39"/>
    </row>
    <row r="313" customFormat="false" ht="15" hidden="false" customHeight="false" outlineLevel="0" collapsed="false">
      <c r="A313" s="40"/>
      <c r="B313" s="36" t="s">
        <v>79</v>
      </c>
      <c r="C313" s="37" t="n">
        <v>0</v>
      </c>
      <c r="D313" s="38" t="n">
        <f aca="false">C313/C300*D300</f>
        <v>0</v>
      </c>
      <c r="E313" s="39"/>
    </row>
    <row r="314" customFormat="false" ht="15" hidden="false" customHeight="false" outlineLevel="0" collapsed="false">
      <c r="A314" s="41" t="s">
        <v>121</v>
      </c>
      <c r="B314" s="36" t="s">
        <v>149</v>
      </c>
      <c r="C314" s="37" t="n">
        <v>0</v>
      </c>
      <c r="D314" s="38" t="n">
        <f aca="false">C314/C300*D300</f>
        <v>0</v>
      </c>
      <c r="E314" s="39" t="n">
        <f aca="false">SUM(D314:D315)</f>
        <v>0</v>
      </c>
    </row>
    <row r="315" customFormat="false" ht="25.5" hidden="false" customHeight="false" outlineLevel="0" collapsed="false">
      <c r="A315" s="41"/>
      <c r="B315" s="36" t="s">
        <v>120</v>
      </c>
      <c r="C315" s="37" t="n">
        <v>0</v>
      </c>
      <c r="D315" s="38" t="n">
        <f aca="false">C315/C300*D300</f>
        <v>0</v>
      </c>
      <c r="E315" s="39"/>
    </row>
    <row r="316" customFormat="false" ht="15" hidden="false" customHeight="true" outlineLevel="0" collapsed="false">
      <c r="A316" s="42" t="s">
        <v>150</v>
      </c>
      <c r="B316" s="36" t="s">
        <v>95</v>
      </c>
      <c r="C316" s="37" t="n">
        <v>1</v>
      </c>
      <c r="D316" s="38" t="n">
        <f aca="false">C316/C300*D300</f>
        <v>1</v>
      </c>
      <c r="E316" s="39" t="n">
        <f aca="false">SUM(D316:D319)</f>
        <v>1</v>
      </c>
    </row>
    <row r="317" customFormat="false" ht="25.5" hidden="false" customHeight="false" outlineLevel="0" collapsed="false">
      <c r="A317" s="42"/>
      <c r="B317" s="36" t="s">
        <v>151</v>
      </c>
      <c r="C317" s="37" t="n">
        <v>0</v>
      </c>
      <c r="D317" s="38" t="n">
        <f aca="false">C317/C300*D300</f>
        <v>0</v>
      </c>
      <c r="E317" s="39"/>
    </row>
    <row r="318" customFormat="false" ht="15" hidden="false" customHeight="false" outlineLevel="0" collapsed="false">
      <c r="A318" s="42"/>
      <c r="B318" s="36" t="s">
        <v>152</v>
      </c>
      <c r="C318" s="37" t="n">
        <v>0</v>
      </c>
      <c r="D318" s="38" t="n">
        <f aca="false">C318/C300*D300</f>
        <v>0</v>
      </c>
      <c r="E318" s="39"/>
    </row>
    <row r="319" customFormat="false" ht="25.5" hidden="false" customHeight="false" outlineLevel="0" collapsed="false">
      <c r="A319" s="42"/>
      <c r="B319" s="36" t="s">
        <v>153</v>
      </c>
      <c r="C319" s="37" t="n">
        <v>0</v>
      </c>
      <c r="D319" s="38" t="n">
        <f aca="false">C319/C300*D300</f>
        <v>0</v>
      </c>
      <c r="E319" s="39"/>
    </row>
    <row r="320" customFormat="false" ht="28.5" hidden="false" customHeight="false" outlineLevel="0" collapsed="false">
      <c r="A320" s="42" t="s">
        <v>154</v>
      </c>
      <c r="B320" s="36" t="s">
        <v>155</v>
      </c>
      <c r="C320" s="37" t="n">
        <v>0</v>
      </c>
      <c r="D320" s="38" t="n">
        <f aca="false">C320/C300*D300</f>
        <v>0</v>
      </c>
      <c r="E320" s="39" t="n">
        <f aca="false">SUM(D320)</f>
        <v>0</v>
      </c>
    </row>
    <row r="321" customFormat="false" ht="15" hidden="false" customHeight="false" outlineLevel="0" collapsed="false">
      <c r="A321" s="40" t="s">
        <v>156</v>
      </c>
      <c r="B321" s="36" t="s">
        <v>157</v>
      </c>
      <c r="C321" s="37" t="n">
        <v>0</v>
      </c>
      <c r="D321" s="38" t="n">
        <f aca="false">C321/C300*D300</f>
        <v>0</v>
      </c>
      <c r="E321" s="39" t="n">
        <f aca="false">SUM(D321:D326)</f>
        <v>0</v>
      </c>
    </row>
    <row r="322" customFormat="false" ht="15" hidden="false" customHeight="false" outlineLevel="0" collapsed="false">
      <c r="A322" s="40"/>
      <c r="B322" s="36" t="s">
        <v>158</v>
      </c>
      <c r="C322" s="37" t="n">
        <v>0</v>
      </c>
      <c r="D322" s="38" t="n">
        <f aca="false">C322/C300*D300</f>
        <v>0</v>
      </c>
      <c r="E322" s="39"/>
    </row>
    <row r="323" customFormat="false" ht="15" hidden="false" customHeight="false" outlineLevel="0" collapsed="false">
      <c r="A323" s="40"/>
      <c r="B323" s="36" t="s">
        <v>159</v>
      </c>
      <c r="C323" s="37" t="n">
        <v>0</v>
      </c>
      <c r="D323" s="38" t="n">
        <f aca="false">C323/C300*D300</f>
        <v>0</v>
      </c>
      <c r="E323" s="39"/>
    </row>
    <row r="324" customFormat="false" ht="15" hidden="false" customHeight="false" outlineLevel="0" collapsed="false">
      <c r="A324" s="40"/>
      <c r="B324" s="36" t="s">
        <v>160</v>
      </c>
      <c r="C324" s="37" t="n">
        <v>0</v>
      </c>
      <c r="D324" s="38" t="n">
        <f aca="false">C324/C300*D300</f>
        <v>0</v>
      </c>
      <c r="E324" s="39"/>
    </row>
    <row r="325" customFormat="false" ht="15" hidden="false" customHeight="false" outlineLevel="0" collapsed="false">
      <c r="A325" s="40"/>
      <c r="B325" s="36" t="s">
        <v>161</v>
      </c>
      <c r="C325" s="37" t="n">
        <v>0</v>
      </c>
      <c r="D325" s="38" t="n">
        <f aca="false">C325/C300*D300</f>
        <v>0</v>
      </c>
      <c r="E325" s="39"/>
    </row>
    <row r="326" customFormat="false" ht="15" hidden="false" customHeight="false" outlineLevel="0" collapsed="false">
      <c r="A326" s="40"/>
      <c r="B326" s="36" t="s">
        <v>162</v>
      </c>
      <c r="C326" s="37" t="n">
        <v>0</v>
      </c>
      <c r="D326" s="38" t="n">
        <f aca="false">C326/C300*D300</f>
        <v>0</v>
      </c>
      <c r="E326" s="39"/>
    </row>
    <row r="327" customFormat="false" ht="15" hidden="false" customHeight="false" outlineLevel="0" collapsed="false">
      <c r="A327" s="43" t="s">
        <v>163</v>
      </c>
      <c r="B327" s="43"/>
      <c r="C327" s="44" t="n">
        <f aca="false">SUM(C302:C326)</f>
        <v>1</v>
      </c>
      <c r="D327" s="38" t="n">
        <f aca="false">+C327/C300*D300</f>
        <v>1</v>
      </c>
      <c r="E327" s="39" t="n">
        <f aca="false">SUM(E302:E321)</f>
        <v>1</v>
      </c>
    </row>
    <row r="330" customFormat="false" ht="15" hidden="false" customHeight="false" outlineLevel="0" collapsed="false">
      <c r="A330" s="27" t="s">
        <v>173</v>
      </c>
      <c r="B330" s="27"/>
      <c r="C330" s="27"/>
      <c r="D330" s="27"/>
    </row>
    <row r="331" customFormat="false" ht="15" hidden="false" customHeight="false" outlineLevel="0" collapsed="false">
      <c r="A331" s="27" t="s">
        <v>131</v>
      </c>
      <c r="B331" s="27"/>
      <c r="C331" s="28" t="n">
        <v>0</v>
      </c>
      <c r="D331" s="28"/>
    </row>
    <row r="332" customFormat="false" ht="15.75" hidden="false" customHeight="true" outlineLevel="0" collapsed="false">
      <c r="A332" s="29" t="s">
        <v>132</v>
      </c>
      <c r="B332" s="29"/>
      <c r="C332" s="30" t="n">
        <f aca="false">C359</f>
        <v>15</v>
      </c>
      <c r="D332" s="31" t="n">
        <v>1</v>
      </c>
    </row>
    <row r="333" customFormat="false" ht="15" hidden="false" customHeight="false" outlineLevel="0" collapsed="false">
      <c r="A333" s="32" t="s">
        <v>133</v>
      </c>
      <c r="B333" s="32" t="s">
        <v>134</v>
      </c>
      <c r="C333" s="33" t="s">
        <v>135</v>
      </c>
      <c r="D333" s="34" t="s">
        <v>136</v>
      </c>
      <c r="E333" s="34" t="s">
        <v>137</v>
      </c>
    </row>
    <row r="334" customFormat="false" ht="15" hidden="false" customHeight="true" outlineLevel="0" collapsed="false">
      <c r="A334" s="35" t="s">
        <v>138</v>
      </c>
      <c r="B334" s="36" t="s">
        <v>139</v>
      </c>
      <c r="C334" s="37" t="n">
        <v>0</v>
      </c>
      <c r="D334" s="38" t="n">
        <f aca="false">C334/C332*D332</f>
        <v>0</v>
      </c>
      <c r="E334" s="39" t="n">
        <f aca="false">SUM(D334:D342)</f>
        <v>0.0666666666666667</v>
      </c>
    </row>
    <row r="335" customFormat="false" ht="15" hidden="false" customHeight="false" outlineLevel="0" collapsed="false">
      <c r="A335" s="35"/>
      <c r="B335" s="36" t="s">
        <v>140</v>
      </c>
      <c r="C335" s="37" t="n">
        <v>0</v>
      </c>
      <c r="D335" s="38" t="n">
        <f aca="false">C335/C332*D332</f>
        <v>0</v>
      </c>
      <c r="E335" s="39"/>
    </row>
    <row r="336" customFormat="false" ht="25.5" hidden="false" customHeight="false" outlineLevel="0" collapsed="false">
      <c r="A336" s="35"/>
      <c r="B336" s="36" t="s">
        <v>106</v>
      </c>
      <c r="C336" s="37" t="n">
        <v>0</v>
      </c>
      <c r="D336" s="38" t="n">
        <f aca="false">C336/C332*D332</f>
        <v>0</v>
      </c>
      <c r="E336" s="39"/>
    </row>
    <row r="337" customFormat="false" ht="15" hidden="false" customHeight="false" outlineLevel="0" collapsed="false">
      <c r="A337" s="35"/>
      <c r="B337" s="36" t="s">
        <v>141</v>
      </c>
      <c r="C337" s="37" t="n">
        <v>0</v>
      </c>
      <c r="D337" s="38" t="n">
        <f aca="false">C337/C332*D332</f>
        <v>0</v>
      </c>
      <c r="E337" s="39"/>
    </row>
    <row r="338" customFormat="false" ht="15" hidden="false" customHeight="false" outlineLevel="0" collapsed="false">
      <c r="A338" s="35"/>
      <c r="B338" s="36" t="s">
        <v>142</v>
      </c>
      <c r="C338" s="37" t="n">
        <v>0</v>
      </c>
      <c r="D338" s="38" t="n">
        <f aca="false">C338/C332*D332</f>
        <v>0</v>
      </c>
      <c r="E338" s="39"/>
    </row>
    <row r="339" customFormat="false" ht="15" hidden="false" customHeight="false" outlineLevel="0" collapsed="false">
      <c r="A339" s="35"/>
      <c r="B339" s="36" t="s">
        <v>143</v>
      </c>
      <c r="C339" s="37" t="n">
        <v>0</v>
      </c>
      <c r="D339" s="38" t="n">
        <f aca="false">C339/C332*D332</f>
        <v>0</v>
      </c>
      <c r="E339" s="39"/>
    </row>
    <row r="340" customFormat="false" ht="15" hidden="false" customHeight="false" outlineLevel="0" collapsed="false">
      <c r="A340" s="35"/>
      <c r="B340" s="36" t="s">
        <v>144</v>
      </c>
      <c r="C340" s="37" t="n">
        <v>0</v>
      </c>
      <c r="D340" s="38" t="n">
        <f aca="false">C340/C332*D332</f>
        <v>0</v>
      </c>
      <c r="E340" s="39"/>
    </row>
    <row r="341" customFormat="false" ht="15" hidden="false" customHeight="false" outlineLevel="0" collapsed="false">
      <c r="A341" s="35"/>
      <c r="B341" s="36" t="s">
        <v>145</v>
      </c>
      <c r="C341" s="37" t="n">
        <v>1</v>
      </c>
      <c r="D341" s="38" t="n">
        <f aca="false">C341/C332*D332</f>
        <v>0.0666666666666667</v>
      </c>
      <c r="E341" s="39"/>
    </row>
    <row r="342" customFormat="false" ht="25.5" hidden="false" customHeight="false" outlineLevel="0" collapsed="false">
      <c r="A342" s="35"/>
      <c r="B342" s="36" t="s">
        <v>146</v>
      </c>
      <c r="C342" s="37" t="n">
        <v>0</v>
      </c>
      <c r="D342" s="38" t="n">
        <f aca="false">C342/C332*D332</f>
        <v>0</v>
      </c>
      <c r="E342" s="39"/>
    </row>
    <row r="343" customFormat="false" ht="38.25" hidden="false" customHeight="false" outlineLevel="0" collapsed="false">
      <c r="A343" s="40" t="s">
        <v>80</v>
      </c>
      <c r="B343" s="36" t="s">
        <v>147</v>
      </c>
      <c r="C343" s="37" t="n">
        <v>0</v>
      </c>
      <c r="D343" s="38" t="n">
        <f aca="false">C343/C332*D332</f>
        <v>0</v>
      </c>
      <c r="E343" s="39" t="n">
        <f aca="false">SUM(D343:D345)</f>
        <v>0.0666666666666667</v>
      </c>
    </row>
    <row r="344" customFormat="false" ht="25.5" hidden="false" customHeight="false" outlineLevel="0" collapsed="false">
      <c r="A344" s="40"/>
      <c r="B344" s="36" t="s">
        <v>148</v>
      </c>
      <c r="C344" s="37" t="n">
        <v>0</v>
      </c>
      <c r="D344" s="38" t="n">
        <f aca="false">C344/C332*D332</f>
        <v>0</v>
      </c>
      <c r="E344" s="39"/>
    </row>
    <row r="345" customFormat="false" ht="15" hidden="false" customHeight="false" outlineLevel="0" collapsed="false">
      <c r="A345" s="40"/>
      <c r="B345" s="36" t="s">
        <v>79</v>
      </c>
      <c r="C345" s="37" t="n">
        <v>1</v>
      </c>
      <c r="D345" s="38" t="n">
        <f aca="false">C345/C332*D332</f>
        <v>0.0666666666666667</v>
      </c>
      <c r="E345" s="39"/>
    </row>
    <row r="346" customFormat="false" ht="15" hidden="false" customHeight="false" outlineLevel="0" collapsed="false">
      <c r="A346" s="41" t="s">
        <v>121</v>
      </c>
      <c r="B346" s="36" t="s">
        <v>149</v>
      </c>
      <c r="C346" s="37" t="n">
        <v>0</v>
      </c>
      <c r="D346" s="38" t="n">
        <f aca="false">C346/C332*D332</f>
        <v>0</v>
      </c>
      <c r="E346" s="39" t="n">
        <f aca="false">SUM(D346:D347)</f>
        <v>0.6</v>
      </c>
    </row>
    <row r="347" customFormat="false" ht="25.5" hidden="false" customHeight="false" outlineLevel="0" collapsed="false">
      <c r="A347" s="41"/>
      <c r="B347" s="36" t="s">
        <v>120</v>
      </c>
      <c r="C347" s="37" t="n">
        <v>9</v>
      </c>
      <c r="D347" s="38" t="n">
        <f aca="false">C347/C332*D332</f>
        <v>0.6</v>
      </c>
      <c r="E347" s="39"/>
    </row>
    <row r="348" customFormat="false" ht="15" hidden="false" customHeight="true" outlineLevel="0" collapsed="false">
      <c r="A348" s="42" t="s">
        <v>150</v>
      </c>
      <c r="B348" s="36" t="s">
        <v>95</v>
      </c>
      <c r="C348" s="37" t="n">
        <v>2</v>
      </c>
      <c r="D348" s="38" t="n">
        <f aca="false">C348/C332*D332</f>
        <v>0.133333333333333</v>
      </c>
      <c r="E348" s="39" t="n">
        <f aca="false">SUM(D348:D351)</f>
        <v>0.133333333333333</v>
      </c>
    </row>
    <row r="349" customFormat="false" ht="25.5" hidden="false" customHeight="false" outlineLevel="0" collapsed="false">
      <c r="A349" s="42"/>
      <c r="B349" s="36" t="s">
        <v>151</v>
      </c>
      <c r="C349" s="37" t="n">
        <v>0</v>
      </c>
      <c r="D349" s="38" t="n">
        <f aca="false">C349/C332*D332</f>
        <v>0</v>
      </c>
      <c r="E349" s="39"/>
    </row>
    <row r="350" customFormat="false" ht="15" hidden="false" customHeight="false" outlineLevel="0" collapsed="false">
      <c r="A350" s="42"/>
      <c r="B350" s="36" t="s">
        <v>152</v>
      </c>
      <c r="C350" s="37" t="n">
        <v>0</v>
      </c>
      <c r="D350" s="38" t="n">
        <f aca="false">C350/C332*D332</f>
        <v>0</v>
      </c>
      <c r="E350" s="39"/>
    </row>
    <row r="351" customFormat="false" ht="25.5" hidden="false" customHeight="false" outlineLevel="0" collapsed="false">
      <c r="A351" s="42"/>
      <c r="B351" s="36" t="s">
        <v>153</v>
      </c>
      <c r="C351" s="37" t="n">
        <v>0</v>
      </c>
      <c r="D351" s="38" t="n">
        <f aca="false">C351/C332*D332</f>
        <v>0</v>
      </c>
      <c r="E351" s="39"/>
    </row>
    <row r="352" customFormat="false" ht="28.5" hidden="false" customHeight="false" outlineLevel="0" collapsed="false">
      <c r="A352" s="42" t="s">
        <v>154</v>
      </c>
      <c r="B352" s="36" t="s">
        <v>155</v>
      </c>
      <c r="C352" s="37" t="n">
        <v>0</v>
      </c>
      <c r="D352" s="38" t="n">
        <f aca="false">C352/C332*D332</f>
        <v>0</v>
      </c>
      <c r="E352" s="39" t="n">
        <f aca="false">SUM(D352)</f>
        <v>0</v>
      </c>
    </row>
    <row r="353" customFormat="false" ht="15" hidden="false" customHeight="false" outlineLevel="0" collapsed="false">
      <c r="A353" s="40" t="s">
        <v>156</v>
      </c>
      <c r="B353" s="36" t="s">
        <v>157</v>
      </c>
      <c r="C353" s="37" t="n">
        <v>0</v>
      </c>
      <c r="D353" s="38" t="n">
        <f aca="false">C353/C332*D332</f>
        <v>0</v>
      </c>
      <c r="E353" s="39" t="n">
        <f aca="false">SUM(D353:D358)</f>
        <v>0.133333333333333</v>
      </c>
    </row>
    <row r="354" customFormat="false" ht="15" hidden="false" customHeight="false" outlineLevel="0" collapsed="false">
      <c r="A354" s="40"/>
      <c r="B354" s="36" t="s">
        <v>158</v>
      </c>
      <c r="C354" s="37" t="n">
        <v>0</v>
      </c>
      <c r="D354" s="38" t="n">
        <f aca="false">C354/C332*D332</f>
        <v>0</v>
      </c>
      <c r="E354" s="39"/>
    </row>
    <row r="355" customFormat="false" ht="15" hidden="false" customHeight="false" outlineLevel="0" collapsed="false">
      <c r="A355" s="40"/>
      <c r="B355" s="36" t="s">
        <v>159</v>
      </c>
      <c r="C355" s="37" t="n">
        <v>0</v>
      </c>
      <c r="D355" s="38" t="n">
        <f aca="false">C355/C332*D332</f>
        <v>0</v>
      </c>
      <c r="E355" s="39"/>
    </row>
    <row r="356" customFormat="false" ht="15" hidden="false" customHeight="false" outlineLevel="0" collapsed="false">
      <c r="A356" s="40"/>
      <c r="B356" s="36" t="s">
        <v>160</v>
      </c>
      <c r="C356" s="37" t="n">
        <v>0</v>
      </c>
      <c r="D356" s="38" t="n">
        <f aca="false">C356/C332*D332</f>
        <v>0</v>
      </c>
      <c r="E356" s="39"/>
    </row>
    <row r="357" customFormat="false" ht="15" hidden="false" customHeight="false" outlineLevel="0" collapsed="false">
      <c r="A357" s="40"/>
      <c r="B357" s="36" t="s">
        <v>161</v>
      </c>
      <c r="C357" s="37" t="n">
        <v>1</v>
      </c>
      <c r="D357" s="38" t="n">
        <f aca="false">C357/C332*D332</f>
        <v>0.0666666666666667</v>
      </c>
      <c r="E357" s="39"/>
    </row>
    <row r="358" customFormat="false" ht="15" hidden="false" customHeight="false" outlineLevel="0" collapsed="false">
      <c r="A358" s="40"/>
      <c r="B358" s="36" t="s">
        <v>162</v>
      </c>
      <c r="C358" s="37" t="n">
        <v>1</v>
      </c>
      <c r="D358" s="38" t="n">
        <f aca="false">C358/C332*D332</f>
        <v>0.0666666666666667</v>
      </c>
      <c r="E358" s="39"/>
    </row>
    <row r="359" customFormat="false" ht="15" hidden="false" customHeight="false" outlineLevel="0" collapsed="false">
      <c r="A359" s="43" t="s">
        <v>163</v>
      </c>
      <c r="B359" s="43"/>
      <c r="C359" s="44" t="n">
        <f aca="false">SUM(C334:C358)</f>
        <v>15</v>
      </c>
      <c r="D359" s="38" t="n">
        <f aca="false">+C359/C332*D332</f>
        <v>1</v>
      </c>
      <c r="E359" s="39" t="n">
        <f aca="false">SUM(E334:E353)</f>
        <v>1</v>
      </c>
    </row>
  </sheetData>
  <mergeCells count="167">
    <mergeCell ref="B3:H3"/>
    <mergeCell ref="B4:H4"/>
    <mergeCell ref="A10:D10"/>
    <mergeCell ref="A11:B11"/>
    <mergeCell ref="C11:D11"/>
    <mergeCell ref="A12:B12"/>
    <mergeCell ref="A14:A22"/>
    <mergeCell ref="E14:E22"/>
    <mergeCell ref="A23:A25"/>
    <mergeCell ref="E23:E25"/>
    <mergeCell ref="A26:A27"/>
    <mergeCell ref="E26:E27"/>
    <mergeCell ref="A28:A31"/>
    <mergeCell ref="E28:E31"/>
    <mergeCell ref="A33:A38"/>
    <mergeCell ref="E33:E38"/>
    <mergeCell ref="A39:B39"/>
    <mergeCell ref="A42:D42"/>
    <mergeCell ref="A43:B43"/>
    <mergeCell ref="C43:D43"/>
    <mergeCell ref="A44:B44"/>
    <mergeCell ref="A46:A54"/>
    <mergeCell ref="E46:E54"/>
    <mergeCell ref="A55:A57"/>
    <mergeCell ref="E55:E57"/>
    <mergeCell ref="A58:A59"/>
    <mergeCell ref="E58:E59"/>
    <mergeCell ref="A60:A63"/>
    <mergeCell ref="E60:E63"/>
    <mergeCell ref="A65:A70"/>
    <mergeCell ref="E65:E70"/>
    <mergeCell ref="A71:B71"/>
    <mergeCell ref="A74:D74"/>
    <mergeCell ref="A75:B75"/>
    <mergeCell ref="C75:D75"/>
    <mergeCell ref="A76:B76"/>
    <mergeCell ref="A78:A86"/>
    <mergeCell ref="E78:E86"/>
    <mergeCell ref="A87:A89"/>
    <mergeCell ref="E87:E89"/>
    <mergeCell ref="A90:A91"/>
    <mergeCell ref="E90:E91"/>
    <mergeCell ref="A92:A95"/>
    <mergeCell ref="E92:E95"/>
    <mergeCell ref="A97:A102"/>
    <mergeCell ref="E97:E102"/>
    <mergeCell ref="A103:B103"/>
    <mergeCell ref="A106:D106"/>
    <mergeCell ref="A107:B107"/>
    <mergeCell ref="C107:D107"/>
    <mergeCell ref="A108:B108"/>
    <mergeCell ref="A110:A118"/>
    <mergeCell ref="E110:E118"/>
    <mergeCell ref="A119:A121"/>
    <mergeCell ref="E119:E121"/>
    <mergeCell ref="A122:A123"/>
    <mergeCell ref="E122:E123"/>
    <mergeCell ref="A124:A127"/>
    <mergeCell ref="E124:E127"/>
    <mergeCell ref="A129:A134"/>
    <mergeCell ref="E129:E134"/>
    <mergeCell ref="A135:B135"/>
    <mergeCell ref="A138:D138"/>
    <mergeCell ref="A139:B139"/>
    <mergeCell ref="C139:D139"/>
    <mergeCell ref="A140:B140"/>
    <mergeCell ref="A142:A150"/>
    <mergeCell ref="E142:E150"/>
    <mergeCell ref="A151:A153"/>
    <mergeCell ref="E151:E153"/>
    <mergeCell ref="A154:A155"/>
    <mergeCell ref="E154:E155"/>
    <mergeCell ref="A156:A159"/>
    <mergeCell ref="E156:E159"/>
    <mergeCell ref="A161:A166"/>
    <mergeCell ref="E161:E166"/>
    <mergeCell ref="A167:B167"/>
    <mergeCell ref="A170:D170"/>
    <mergeCell ref="A171:B171"/>
    <mergeCell ref="C171:D171"/>
    <mergeCell ref="A172:B172"/>
    <mergeCell ref="A174:A182"/>
    <mergeCell ref="E174:E182"/>
    <mergeCell ref="A183:A185"/>
    <mergeCell ref="E183:E185"/>
    <mergeCell ref="A186:A187"/>
    <mergeCell ref="E186:E187"/>
    <mergeCell ref="A188:A191"/>
    <mergeCell ref="E188:E191"/>
    <mergeCell ref="A193:A198"/>
    <mergeCell ref="E193:E198"/>
    <mergeCell ref="A199:B199"/>
    <mergeCell ref="A202:D202"/>
    <mergeCell ref="A203:B203"/>
    <mergeCell ref="C203:D203"/>
    <mergeCell ref="A204:B204"/>
    <mergeCell ref="A206:A214"/>
    <mergeCell ref="E206:E214"/>
    <mergeCell ref="A215:A217"/>
    <mergeCell ref="E215:E217"/>
    <mergeCell ref="A218:A219"/>
    <mergeCell ref="E218:E219"/>
    <mergeCell ref="A220:A223"/>
    <mergeCell ref="E220:E223"/>
    <mergeCell ref="A225:A230"/>
    <mergeCell ref="E225:E230"/>
    <mergeCell ref="A231:B231"/>
    <mergeCell ref="A234:D234"/>
    <mergeCell ref="A235:B235"/>
    <mergeCell ref="C235:D235"/>
    <mergeCell ref="A236:B236"/>
    <mergeCell ref="A238:A246"/>
    <mergeCell ref="E238:E246"/>
    <mergeCell ref="A247:A249"/>
    <mergeCell ref="E247:E249"/>
    <mergeCell ref="A250:A251"/>
    <mergeCell ref="E250:E251"/>
    <mergeCell ref="A252:A255"/>
    <mergeCell ref="E252:E255"/>
    <mergeCell ref="A257:A262"/>
    <mergeCell ref="E257:E262"/>
    <mergeCell ref="A263:B263"/>
    <mergeCell ref="A266:D266"/>
    <mergeCell ref="A267:B267"/>
    <mergeCell ref="C267:D267"/>
    <mergeCell ref="A268:B268"/>
    <mergeCell ref="A270:A278"/>
    <mergeCell ref="E270:E278"/>
    <mergeCell ref="A279:A281"/>
    <mergeCell ref="E279:E281"/>
    <mergeCell ref="A282:A283"/>
    <mergeCell ref="E282:E283"/>
    <mergeCell ref="A284:A287"/>
    <mergeCell ref="E284:E287"/>
    <mergeCell ref="A289:A294"/>
    <mergeCell ref="E289:E294"/>
    <mergeCell ref="A295:B295"/>
    <mergeCell ref="A298:D298"/>
    <mergeCell ref="A299:B299"/>
    <mergeCell ref="C299:D299"/>
    <mergeCell ref="A300:B300"/>
    <mergeCell ref="A302:A310"/>
    <mergeCell ref="E302:E310"/>
    <mergeCell ref="A311:A313"/>
    <mergeCell ref="E311:E313"/>
    <mergeCell ref="A314:A315"/>
    <mergeCell ref="E314:E315"/>
    <mergeCell ref="A316:A319"/>
    <mergeCell ref="E316:E319"/>
    <mergeCell ref="A321:A326"/>
    <mergeCell ref="E321:E326"/>
    <mergeCell ref="A327:B327"/>
    <mergeCell ref="A330:D330"/>
    <mergeCell ref="A331:B331"/>
    <mergeCell ref="C331:D331"/>
    <mergeCell ref="A332:B332"/>
    <mergeCell ref="A334:A342"/>
    <mergeCell ref="E334:E342"/>
    <mergeCell ref="A343:A345"/>
    <mergeCell ref="E343:E345"/>
    <mergeCell ref="A346:A347"/>
    <mergeCell ref="E346:E347"/>
    <mergeCell ref="A348:A351"/>
    <mergeCell ref="E348:E351"/>
    <mergeCell ref="A353:A358"/>
    <mergeCell ref="E353:E358"/>
    <mergeCell ref="A359:B359"/>
  </mergeCells>
  <dataValidations count="5">
    <dataValidation allowBlank="true" operator="between" showDropDown="false" showErrorMessage="true" showInputMessage="true" sqref="B1" type="list">
      <formula1>$AA$8:$AA$31</formula1>
      <formula2>0</formula2>
    </dataValidation>
    <dataValidation allowBlank="true" operator="between" showDropDown="false" showErrorMessage="true" showInputMessage="true" sqref="B2" type="list">
      <formula1>$AE$8:$AE$16</formula1>
      <formula2>0</formula2>
    </dataValidation>
    <dataValidation allowBlank="true" operator="between" showDropDown="false" showErrorMessage="true" showInputMessage="true" sqref="B5" type="list">
      <formula1>$AB$8:$AB$25</formula1>
      <formula2>0</formula2>
    </dataValidation>
    <dataValidation allowBlank="true" operator="between" showDropDown="false" showErrorMessage="true" showInputMessage="true" sqref="B6" type="list">
      <formula1>$AC$8:$AC$11</formula1>
      <formula2>0</formula2>
    </dataValidation>
    <dataValidation allowBlank="true" operator="between" showDropDown="false" showErrorMessage="true" showInputMessage="true" sqref="B7" type="list">
      <formula1>$AD$8:$AD$10</formula1>
      <formula2>0</formula2>
    </dataValidation>
  </dataValidation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</TotalTime>
  <Application>LibreOffice/5.1.6.2$Linux_X86_64 LibreOffice_project/10m0$Build-2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2015-06-05T18:19:34Z</dcterms:created>
  <dc:creator/>
  <dc:description/>
  <dc:language>en-US</dc:language>
  <cp:lastModifiedBy/>
  <dcterms:modified xsi:type="dcterms:W3CDTF">2018-08-01T14:39:14Z</dcterms:modified>
  <cp:revision>2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</Properties>
</file>