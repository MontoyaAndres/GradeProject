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411" codeName="{00000000-0000-0000-0000-000000000000}"/>
  <workbookPr filterPrivacy="1" codeName="ThisWorkbook"/>
  <xr:revisionPtr revIDLastSave="21" documentId="8_{3E9B8B6A-48A3-427A-A87E-71D4F96E4C02}" xr6:coauthVersionLast="33" xr6:coauthVersionMax="33" xr10:uidLastSave="{9D62DE7D-B3BD-4652-95C1-BB04960C66EB}"/>
  <bookViews>
    <workbookView xWindow="0" yWindow="0" windowWidth="20490" windowHeight="6570" firstSheet="1" xr2:uid="{00000000-000D-0000-FFFF-FFFF00000000}"/>
  </bookViews>
  <sheets>
    <sheet name="MATRIZ AUSENTISMO" sheetId="1" r:id="rId1"/>
    <sheet name="TABLAS CON CARRERA" sheetId="5" r:id="rId2"/>
  </sheets>
  <definedNames>
    <definedName name="_xlnm._FilterDatabase" localSheetId="0" hidden="1">'MATRIZ AUSENTISMO'!$A$1:$AK$190</definedName>
  </definedNames>
  <calcPr calcId="179016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9" i="5" l="1"/>
  <c r="C332" i="5"/>
  <c r="D357" i="5"/>
  <c r="C327" i="5"/>
  <c r="C300" i="5"/>
  <c r="D325" i="5"/>
  <c r="C295" i="5"/>
  <c r="C268" i="5"/>
  <c r="D293" i="5"/>
  <c r="C263" i="5"/>
  <c r="C236" i="5"/>
  <c r="C231" i="5"/>
  <c r="C204" i="5"/>
  <c r="D229" i="5"/>
  <c r="D215" i="5"/>
  <c r="D230" i="5"/>
  <c r="D352" i="5"/>
  <c r="E352" i="5"/>
  <c r="D335" i="5"/>
  <c r="D354" i="5"/>
  <c r="D339" i="5"/>
  <c r="D358" i="5"/>
  <c r="D343" i="5"/>
  <c r="D346" i="5"/>
  <c r="D359" i="5"/>
  <c r="D314" i="5"/>
  <c r="D327" i="5"/>
  <c r="D303" i="5"/>
  <c r="D320" i="5"/>
  <c r="E320" i="5"/>
  <c r="D307" i="5"/>
  <c r="D322" i="5"/>
  <c r="D311" i="5"/>
  <c r="D326" i="5"/>
  <c r="D275" i="5"/>
  <c r="D294" i="5"/>
  <c r="D279" i="5"/>
  <c r="D288" i="5"/>
  <c r="E288" i="5"/>
  <c r="D271" i="5"/>
  <c r="D290" i="5"/>
  <c r="D282" i="5"/>
  <c r="D295" i="5"/>
  <c r="D261" i="5"/>
  <c r="D262" i="5"/>
  <c r="D258" i="5"/>
  <c r="D247" i="5"/>
  <c r="D243" i="5"/>
  <c r="D250" i="5"/>
  <c r="D263" i="5"/>
  <c r="D239" i="5"/>
  <c r="D256" i="5"/>
  <c r="E256" i="5"/>
  <c r="D218" i="5"/>
  <c r="D219" i="5"/>
  <c r="E218" i="5"/>
  <c r="D231" i="5"/>
  <c r="D207" i="5"/>
  <c r="D224" i="5"/>
  <c r="E224" i="5"/>
  <c r="D211" i="5"/>
  <c r="D226" i="5"/>
  <c r="D336" i="5"/>
  <c r="D340" i="5"/>
  <c r="D349" i="5"/>
  <c r="D355" i="5"/>
  <c r="D334" i="5"/>
  <c r="D337" i="5"/>
  <c r="D341" i="5"/>
  <c r="D344" i="5"/>
  <c r="D347" i="5"/>
  <c r="D350" i="5"/>
  <c r="D353" i="5"/>
  <c r="D356" i="5"/>
  <c r="D338" i="5"/>
  <c r="D342" i="5"/>
  <c r="D345" i="5"/>
  <c r="D348" i="5"/>
  <c r="D351" i="5"/>
  <c r="D304" i="5"/>
  <c r="D308" i="5"/>
  <c r="D317" i="5"/>
  <c r="D323" i="5"/>
  <c r="D302" i="5"/>
  <c r="D305" i="5"/>
  <c r="D309" i="5"/>
  <c r="D312" i="5"/>
  <c r="D315" i="5"/>
  <c r="D318" i="5"/>
  <c r="D321" i="5"/>
  <c r="D324" i="5"/>
  <c r="D306" i="5"/>
  <c r="D310" i="5"/>
  <c r="D313" i="5"/>
  <c r="D316" i="5"/>
  <c r="D319" i="5"/>
  <c r="E316" i="5"/>
  <c r="D272" i="5"/>
  <c r="D276" i="5"/>
  <c r="D285" i="5"/>
  <c r="D291" i="5"/>
  <c r="D270" i="5"/>
  <c r="D273" i="5"/>
  <c r="D277" i="5"/>
  <c r="D280" i="5"/>
  <c r="D283" i="5"/>
  <c r="D286" i="5"/>
  <c r="D289" i="5"/>
  <c r="D292" i="5"/>
  <c r="D274" i="5"/>
  <c r="D278" i="5"/>
  <c r="D281" i="5"/>
  <c r="D284" i="5"/>
  <c r="D287" i="5"/>
  <c r="D240" i="5"/>
  <c r="D244" i="5"/>
  <c r="D253" i="5"/>
  <c r="D259" i="5"/>
  <c r="D238" i="5"/>
  <c r="D241" i="5"/>
  <c r="D245" i="5"/>
  <c r="D248" i="5"/>
  <c r="D251" i="5"/>
  <c r="D254" i="5"/>
  <c r="D257" i="5"/>
  <c r="D260" i="5"/>
  <c r="D242" i="5"/>
  <c r="D246" i="5"/>
  <c r="D249" i="5"/>
  <c r="D252" i="5"/>
  <c r="D255" i="5"/>
  <c r="D208" i="5"/>
  <c r="D212" i="5"/>
  <c r="D221" i="5"/>
  <c r="D227" i="5"/>
  <c r="D206" i="5"/>
  <c r="D209" i="5"/>
  <c r="D213" i="5"/>
  <c r="D216" i="5"/>
  <c r="D222" i="5"/>
  <c r="D225" i="5"/>
  <c r="D228" i="5"/>
  <c r="E225" i="5"/>
  <c r="D210" i="5"/>
  <c r="D214" i="5"/>
  <c r="D217" i="5"/>
  <c r="E215" i="5"/>
  <c r="D220" i="5"/>
  <c r="D223" i="5"/>
  <c r="C199" i="5"/>
  <c r="C172" i="5"/>
  <c r="C167" i="5"/>
  <c r="C140" i="5"/>
  <c r="C135" i="5"/>
  <c r="C108" i="5"/>
  <c r="C103" i="5"/>
  <c r="C76" i="5"/>
  <c r="C71" i="5"/>
  <c r="C44" i="5"/>
  <c r="D69" i="5"/>
  <c r="C39" i="5"/>
  <c r="C12" i="5"/>
  <c r="D36" i="5"/>
  <c r="E343" i="5"/>
  <c r="E334" i="5"/>
  <c r="E348" i="5"/>
  <c r="E346" i="5"/>
  <c r="E353" i="5"/>
  <c r="E321" i="5"/>
  <c r="E311" i="5"/>
  <c r="E302" i="5"/>
  <c r="E314" i="5"/>
  <c r="E282" i="5"/>
  <c r="E284" i="5"/>
  <c r="E279" i="5"/>
  <c r="E289" i="5"/>
  <c r="E270" i="5"/>
  <c r="E247" i="5"/>
  <c r="E238" i="5"/>
  <c r="E252" i="5"/>
  <c r="E250" i="5"/>
  <c r="E257" i="5"/>
  <c r="E206" i="5"/>
  <c r="E220" i="5"/>
  <c r="D197" i="5"/>
  <c r="D194" i="5"/>
  <c r="D198" i="5"/>
  <c r="D179" i="5"/>
  <c r="D183" i="5"/>
  <c r="D186" i="5"/>
  <c r="D199" i="5"/>
  <c r="D175" i="5"/>
  <c r="D192" i="5"/>
  <c r="E192" i="5"/>
  <c r="D166" i="5"/>
  <c r="D165" i="5"/>
  <c r="D162" i="5"/>
  <c r="D147" i="5"/>
  <c r="D151" i="5"/>
  <c r="D133" i="5"/>
  <c r="D134" i="5"/>
  <c r="D119" i="5"/>
  <c r="D176" i="5"/>
  <c r="D180" i="5"/>
  <c r="D189" i="5"/>
  <c r="D195" i="5"/>
  <c r="D174" i="5"/>
  <c r="D177" i="5"/>
  <c r="D181" i="5"/>
  <c r="D184" i="5"/>
  <c r="D187" i="5"/>
  <c r="D190" i="5"/>
  <c r="D193" i="5"/>
  <c r="D196" i="5"/>
  <c r="D178" i="5"/>
  <c r="D182" i="5"/>
  <c r="D185" i="5"/>
  <c r="D188" i="5"/>
  <c r="D191" i="5"/>
  <c r="D122" i="5"/>
  <c r="D135" i="5"/>
  <c r="D111" i="5"/>
  <c r="D128" i="5"/>
  <c r="E128" i="5"/>
  <c r="D154" i="5"/>
  <c r="D167" i="5"/>
  <c r="D115" i="5"/>
  <c r="D130" i="5"/>
  <c r="D143" i="5"/>
  <c r="D160" i="5"/>
  <c r="E160" i="5"/>
  <c r="D144" i="5"/>
  <c r="D148" i="5"/>
  <c r="D157" i="5"/>
  <c r="D163" i="5"/>
  <c r="D142" i="5"/>
  <c r="D145" i="5"/>
  <c r="D149" i="5"/>
  <c r="D152" i="5"/>
  <c r="D155" i="5"/>
  <c r="D158" i="5"/>
  <c r="D161" i="5"/>
  <c r="D164" i="5"/>
  <c r="D146" i="5"/>
  <c r="D150" i="5"/>
  <c r="D153" i="5"/>
  <c r="D156" i="5"/>
  <c r="D159" i="5"/>
  <c r="D112" i="5"/>
  <c r="D116" i="5"/>
  <c r="D125" i="5"/>
  <c r="D131" i="5"/>
  <c r="D110" i="5"/>
  <c r="D113" i="5"/>
  <c r="D117" i="5"/>
  <c r="D120" i="5"/>
  <c r="D123" i="5"/>
  <c r="D126" i="5"/>
  <c r="D129" i="5"/>
  <c r="D132" i="5"/>
  <c r="D114" i="5"/>
  <c r="D118" i="5"/>
  <c r="D121" i="5"/>
  <c r="D124" i="5"/>
  <c r="D127" i="5"/>
  <c r="D101" i="5"/>
  <c r="D102" i="5"/>
  <c r="D87" i="5"/>
  <c r="D90" i="5"/>
  <c r="D103" i="5"/>
  <c r="D79" i="5"/>
  <c r="D96" i="5"/>
  <c r="E96" i="5"/>
  <c r="D83" i="5"/>
  <c r="D98" i="5"/>
  <c r="D80" i="5"/>
  <c r="D84" i="5"/>
  <c r="D93" i="5"/>
  <c r="D99" i="5"/>
  <c r="D78" i="5"/>
  <c r="D81" i="5"/>
  <c r="D85" i="5"/>
  <c r="D88" i="5"/>
  <c r="D91" i="5"/>
  <c r="D94" i="5"/>
  <c r="D97" i="5"/>
  <c r="D100" i="5"/>
  <c r="D82" i="5"/>
  <c r="D86" i="5"/>
  <c r="D89" i="5"/>
  <c r="D92" i="5"/>
  <c r="D95" i="5"/>
  <c r="D58" i="5"/>
  <c r="D71" i="5"/>
  <c r="D47" i="5"/>
  <c r="D64" i="5"/>
  <c r="E64" i="5"/>
  <c r="D51" i="5"/>
  <c r="D66" i="5"/>
  <c r="D55" i="5"/>
  <c r="D70" i="5"/>
  <c r="D22" i="5"/>
  <c r="D28" i="5"/>
  <c r="D37" i="5"/>
  <c r="D15" i="5"/>
  <c r="D23" i="5"/>
  <c r="D31" i="5"/>
  <c r="D38" i="5"/>
  <c r="D18" i="5"/>
  <c r="D25" i="5"/>
  <c r="D32" i="5"/>
  <c r="E32" i="5"/>
  <c r="D39" i="5"/>
  <c r="D19" i="5"/>
  <c r="D26" i="5"/>
  <c r="D34" i="5"/>
  <c r="D48" i="5"/>
  <c r="D52" i="5"/>
  <c r="D61" i="5"/>
  <c r="D67" i="5"/>
  <c r="D16" i="5"/>
  <c r="D20" i="5"/>
  <c r="D29" i="5"/>
  <c r="D35" i="5"/>
  <c r="D46" i="5"/>
  <c r="D49" i="5"/>
  <c r="D53" i="5"/>
  <c r="D56" i="5"/>
  <c r="D59" i="5"/>
  <c r="D62" i="5"/>
  <c r="D65" i="5"/>
  <c r="D68" i="5"/>
  <c r="D14" i="5"/>
  <c r="D17" i="5"/>
  <c r="D21" i="5"/>
  <c r="D24" i="5"/>
  <c r="E23" i="5"/>
  <c r="D27" i="5"/>
  <c r="D30" i="5"/>
  <c r="D33" i="5"/>
  <c r="D50" i="5"/>
  <c r="D54" i="5"/>
  <c r="D57" i="5"/>
  <c r="D60" i="5"/>
  <c r="D63" i="5"/>
  <c r="E359" i="5"/>
  <c r="E327" i="5"/>
  <c r="E295" i="5"/>
  <c r="E263" i="5"/>
  <c r="E231" i="5"/>
  <c r="E183" i="5"/>
  <c r="E193" i="5"/>
  <c r="E174" i="5"/>
  <c r="E186" i="5"/>
  <c r="E188" i="5"/>
  <c r="E161" i="5"/>
  <c r="E142" i="5"/>
  <c r="E156" i="5"/>
  <c r="E154" i="5"/>
  <c r="E151" i="5"/>
  <c r="E129" i="5"/>
  <c r="E110" i="5"/>
  <c r="E124" i="5"/>
  <c r="E119" i="5"/>
  <c r="E122" i="5"/>
  <c r="E90" i="5"/>
  <c r="E87" i="5"/>
  <c r="E78" i="5"/>
  <c r="E92" i="5"/>
  <c r="E97" i="5"/>
  <c r="E55" i="5"/>
  <c r="E60" i="5"/>
  <c r="E65" i="5"/>
  <c r="E58" i="5"/>
  <c r="E26" i="5"/>
  <c r="E28" i="5"/>
  <c r="E33" i="5"/>
  <c r="E14" i="5"/>
  <c r="E46" i="5"/>
  <c r="E199" i="5"/>
  <c r="E167" i="5"/>
  <c r="E135" i="5"/>
  <c r="E39" i="5"/>
  <c r="E103" i="5"/>
  <c r="E71" i="5"/>
</calcChain>
</file>

<file path=xl/sharedStrings.xml><?xml version="1.0" encoding="utf-8"?>
<sst xmlns="http://schemas.openxmlformats.org/spreadsheetml/2006/main" count="626" uniqueCount="157">
  <si>
    <t>Código Banner</t>
  </si>
  <si>
    <t>Nombres</t>
  </si>
  <si>
    <t>Apellidos</t>
  </si>
  <si>
    <t>Género</t>
  </si>
  <si>
    <t>Edad</t>
  </si>
  <si>
    <t>Número Identificación</t>
  </si>
  <si>
    <t>Tipo Doc Identidad</t>
  </si>
  <si>
    <t>Nivel Formación</t>
  </si>
  <si>
    <t>Código Programa</t>
  </si>
  <si>
    <t>Descripción Programa</t>
  </si>
  <si>
    <t>Jornada</t>
  </si>
  <si>
    <t>Area Conocimiento</t>
  </si>
  <si>
    <t>Nucleo Basico Conocimiento</t>
  </si>
  <si>
    <t>Ies</t>
  </si>
  <si>
    <t>Snies</t>
  </si>
  <si>
    <t>Rectoría</t>
  </si>
  <si>
    <t>Código Sede</t>
  </si>
  <si>
    <t>Sede</t>
  </si>
  <si>
    <t>Centro Regional</t>
  </si>
  <si>
    <t>Código periodo académico</t>
  </si>
  <si>
    <t>periodo académico Inscripción</t>
  </si>
  <si>
    <t>Descripción Metodología</t>
  </si>
  <si>
    <t>Tipo Estudiante Agrupado</t>
  </si>
  <si>
    <t>Lugar Residencia</t>
  </si>
  <si>
    <t>TEL CEL</t>
  </si>
  <si>
    <t>FECHA CEL</t>
  </si>
  <si>
    <t>TEL RE</t>
  </si>
  <si>
    <t>CORREO ESTUDIANTE 1</t>
  </si>
  <si>
    <t>CORREO ESTUDIANTE 2</t>
  </si>
  <si>
    <t>FECHA CORREO</t>
  </si>
  <si>
    <t>DIRECCION</t>
  </si>
  <si>
    <t>DEPARTAMENTO</t>
  </si>
  <si>
    <t>CIUDAD</t>
  </si>
  <si>
    <t>Estado</t>
  </si>
  <si>
    <t>COMENTARIO</t>
  </si>
  <si>
    <t>SITUACION</t>
  </si>
  <si>
    <t>VARIABLE</t>
  </si>
  <si>
    <t>JUAN DAVID</t>
  </si>
  <si>
    <t>ACERO CASTAÑEDA</t>
  </si>
  <si>
    <t>MASCULINO</t>
  </si>
  <si>
    <t>CC-Cédula de ciudadania</t>
  </si>
  <si>
    <t>Pregrado</t>
  </si>
  <si>
    <t>ADFU</t>
  </si>
  <si>
    <t>Administración Financiera Dist</t>
  </si>
  <si>
    <t>Distancia</t>
  </si>
  <si>
    <t>ECONOMIA, ADMINISTRACION, CONTADURIA Y AFINES</t>
  </si>
  <si>
    <t>ADMINISTRACION</t>
  </si>
  <si>
    <t>2829</t>
  </si>
  <si>
    <t>90921</t>
  </si>
  <si>
    <t>R CUNDINAMARCA</t>
  </si>
  <si>
    <t>MES</t>
  </si>
  <si>
    <t>CT LA MESA</t>
  </si>
  <si>
    <t>GIRARDOT</t>
  </si>
  <si>
    <t>Distancia (Tradicional)</t>
  </si>
  <si>
    <t>Primera Vez</t>
  </si>
  <si>
    <t>25599</t>
  </si>
  <si>
    <t>jacerocasta@uniminuto.edu.co</t>
  </si>
  <si>
    <t>1123@hotmail.com</t>
  </si>
  <si>
    <t>LA CUEVA  Vd SAN ANTONIO</t>
  </si>
  <si>
    <t>Cundinamarca</t>
  </si>
  <si>
    <t>Apulo</t>
  </si>
  <si>
    <t>Ausentismo</t>
  </si>
  <si>
    <t>NO CONTESTA</t>
  </si>
  <si>
    <t>NO SE ENCUENTRA INFORMACIÓN DEL ESTUDIANTE</t>
  </si>
  <si>
    <t>NO CONTACTO</t>
  </si>
  <si>
    <t>LINA MARIA</t>
  </si>
  <si>
    <t>BARBOSA ROMERO</t>
  </si>
  <si>
    <t>FEMENINO</t>
  </si>
  <si>
    <t>GIR</t>
  </si>
  <si>
    <t>CR GIRARDOT</t>
  </si>
  <si>
    <t>Continuo</t>
  </si>
  <si>
    <t>25368</t>
  </si>
  <si>
    <t>lbarbosarom@uniminuto.edu.co</t>
  </si>
  <si>
    <t>linamaria123@hotmail.com</t>
  </si>
  <si>
    <t xml:space="preserve">Vd LA LIBERTAD LIBERTAD </t>
  </si>
  <si>
    <t>Jerusalen</t>
  </si>
  <si>
    <t>Está desarrollando Opción de Grado</t>
  </si>
  <si>
    <t xml:space="preserve">TERMINO DE ASIGNATURAS - PENDIENTE GRADO </t>
  </si>
  <si>
    <t>NO PERTENCE A LA MATRIZ</t>
  </si>
  <si>
    <t>VICTOR ALFONSO</t>
  </si>
  <si>
    <t>BARRAGAN HERNANDEZ</t>
  </si>
  <si>
    <t>25307</t>
  </si>
  <si>
    <t>vbarraganhe@uniminuto.edu.co</t>
  </si>
  <si>
    <t>crisvic_2009@hotmail.com</t>
  </si>
  <si>
    <t>Man 14 Casa 4 B/ DIAMANTE  diamante popular</t>
  </si>
  <si>
    <t>Girardot (Cun)</t>
  </si>
  <si>
    <t>Sin empleo</t>
  </si>
  <si>
    <t xml:space="preserve">PROBLEMAS ECONÓMICOS </t>
  </si>
  <si>
    <t>FINANCIERA</t>
  </si>
  <si>
    <t xml:space="preserve">MARYLIN </t>
  </si>
  <si>
    <t>CABRERA CELIS</t>
  </si>
  <si>
    <t>73449</t>
  </si>
  <si>
    <t>mcabreracel@uniminuto.edu.co</t>
  </si>
  <si>
    <t>mcabreracelec@gmail.com</t>
  </si>
  <si>
    <t>MZ H CS 5 17 ENERO  17 ENERO</t>
  </si>
  <si>
    <t>Tolima</t>
  </si>
  <si>
    <t>Melgar</t>
  </si>
  <si>
    <t>MATRICULADO</t>
  </si>
  <si>
    <t>ESTUDIANTE MATRICULADO</t>
  </si>
  <si>
    <t>LEIDY LILIANA</t>
  </si>
  <si>
    <t>GARCIA SALAZAR</t>
  </si>
  <si>
    <t>lgarciasala@uniminuto.edu.co</t>
  </si>
  <si>
    <t>leidygarcia.s.10@gmail.com;lgarciasala@uniminuto.edu.co</t>
  </si>
  <si>
    <t xml:space="preserve">MAN B1 CASA 2 VILLA ELIZA VILLA ELIZA </t>
  </si>
  <si>
    <t>La modalidad virtual no le permite laborar los sabados sin afectar su horario</t>
  </si>
  <si>
    <t>DIFICULTADES CON MODALIDAD VIRTUAL</t>
  </si>
  <si>
    <t>ACADEMICO</t>
  </si>
  <si>
    <t>PROGRAMA</t>
  </si>
  <si>
    <t>PERIODO</t>
  </si>
  <si>
    <t>DOCENTE CONSEJERO 1</t>
  </si>
  <si>
    <t>NOMBRE Y APELLIDO</t>
  </si>
  <si>
    <t>DOCENTE CONSEJERO 2</t>
  </si>
  <si>
    <t>SEMESTRE A CARGO</t>
  </si>
  <si>
    <t>JORNADA</t>
  </si>
  <si>
    <t>MODALIDAD</t>
  </si>
  <si>
    <t>Numero de Estudiantes Matriculados</t>
  </si>
  <si>
    <t>BASE DATOS DESERCIÓN Y AUSENTISMO</t>
  </si>
  <si>
    <t>VARIABLES</t>
  </si>
  <si>
    <t>SITUACIÓN</t>
  </si>
  <si>
    <t>CANTIDAD</t>
  </si>
  <si>
    <t>%</t>
  </si>
  <si>
    <t>SUMA POR VARIABLE</t>
  </si>
  <si>
    <t>ACADEMICA</t>
  </si>
  <si>
    <t>CAMBIO DE SEDE</t>
  </si>
  <si>
    <t>ASIGNATURAS PENDIENTE</t>
  </si>
  <si>
    <t>RETIRO PERDIDA ACADEMICA</t>
  </si>
  <si>
    <t>PROBLEMA CON DOCENTE</t>
  </si>
  <si>
    <t>FALTA DICIPLINARIA</t>
  </si>
  <si>
    <t>CAMBIO DE UNIVERSIDAD</t>
  </si>
  <si>
    <t>PÉRDIDA ACADÉMICA</t>
  </si>
  <si>
    <t>PROBLEMAS CON EL SERVICION ACADÉMICO</t>
  </si>
  <si>
    <t>PROBLEMAS DE TRAMITE O RENTENCIÓN CON LA COOPERATIVA UNIMINUTO</t>
  </si>
  <si>
    <t>APLAZO DE SEMESTRE POR RECURSOS ECONÓMICO</t>
  </si>
  <si>
    <t>PROBLEMAS ECONÓMICOS</t>
  </si>
  <si>
    <t>BUZON</t>
  </si>
  <si>
    <t>NO HA ESTUDIADO EN UNIMIMINUTO</t>
  </si>
  <si>
    <t>PENDIENTE GRADO</t>
  </si>
  <si>
    <t>NO SE REALIZÓ GESTIÓN POR PARTE DEL PROGRAMA</t>
  </si>
  <si>
    <t>NO SE REALIZÓ GESTIÓN</t>
  </si>
  <si>
    <t>PSICOSOCIAL</t>
  </si>
  <si>
    <t>MOTIVOS PERSONALES</t>
  </si>
  <si>
    <t>CAMBIO DE CIUDAD</t>
  </si>
  <si>
    <t>CAMBIO DE DOMICILIO</t>
  </si>
  <si>
    <t>CAMBIO DE PROGRAMA</t>
  </si>
  <si>
    <t>LICENCIA DE MAATERNIDAD</t>
  </si>
  <si>
    <t>PROBLEMAS DE SALUD</t>
  </si>
  <si>
    <t>TOTAL DE ESTUDIANTES</t>
  </si>
  <si>
    <t>ASOD</t>
  </si>
  <si>
    <t>ADM</t>
  </si>
  <si>
    <t>COPD</t>
  </si>
  <si>
    <t>CSOC</t>
  </si>
  <si>
    <t>ICIV</t>
  </si>
  <si>
    <t>ISUM</t>
  </si>
  <si>
    <t>LPID</t>
  </si>
  <si>
    <t>PSID</t>
  </si>
  <si>
    <t>TINF</t>
  </si>
  <si>
    <t>TRSO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</si>
</sst>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DB4E3"/>
        <bgColor indexed="64"/>
      </patternFill>
    </fill>
    <fill>
      <patternFill patternType="solid">
        <fgColor theme="4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72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14" fontId="3" fillId="5" borderId="1" xfId="0" applyNumberFormat="1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2" xfId="0" applyNumberFormat="1" applyBorder="1"/>
    <xf numFmtId="0" fontId="0" fillId="0" borderId="0" xfId="0" applyBorder="1"/>
    <xf numFmtId="0" fontId="0" fillId="0" borderId="0" xfId="0" applyNumberFormat="1" applyBorder="1"/>
    <xf numFmtId="0" fontId="0" fillId="0" borderId="0" xfId="0" applyFill="1" applyBorder="1"/>
    <xf numFmtId="0" fontId="0" fillId="0" borderId="0" xfId="0" applyBorder="1" applyAlignment="1"/>
    <xf numFmtId="14" fontId="0" fillId="0" borderId="0" xfId="0" applyNumberFormat="1" applyBorder="1"/>
    <xf numFmtId="0" fontId="0" fillId="0" borderId="3" xfId="0" applyBorder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4" xfId="0" applyFill="1" applyBorder="1" applyAlignment="1">
      <alignment wrapText="1"/>
    </xf>
    <xf numFmtId="0" fontId="0" fillId="0" borderId="4" xfId="0" applyFill="1" applyBorder="1"/>
    <xf numFmtId="0" fontId="0" fillId="0" borderId="4" xfId="0" applyBorder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0" fillId="0" borderId="1" xfId="0" applyFill="1" applyBorder="1"/>
    <xf numFmtId="0" fontId="2" fillId="7" borderId="1" xfId="0" applyFont="1" applyFill="1" applyBorder="1" applyProtection="1"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9" fontId="6" fillId="0" borderId="1" xfId="0" applyNumberFormat="1" applyFont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 wrapText="1"/>
    </xf>
    <xf numFmtId="0" fontId="4" fillId="9" borderId="13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NumberFormat="1" applyFont="1" applyBorder="1"/>
    <xf numFmtId="9" fontId="7" fillId="0" borderId="1" xfId="1" applyNumberFormat="1" applyFont="1" applyBorder="1" applyAlignment="1">
      <alignment horizontal="left"/>
    </xf>
    <xf numFmtId="0" fontId="8" fillId="0" borderId="1" xfId="0" applyFont="1" applyBorder="1" applyAlignment="1">
      <alignment horizontal="left" vertical="center"/>
    </xf>
    <xf numFmtId="9" fontId="7" fillId="0" borderId="1" xfId="1" applyNumberFormat="1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/>
    </xf>
    <xf numFmtId="0" fontId="0" fillId="0" borderId="1" xfId="0" applyFont="1" applyBorder="1" applyAlignment="1" applyProtection="1">
      <alignment horizontal="center"/>
      <protection locked="0"/>
    </xf>
    <xf numFmtId="0" fontId="7" fillId="0" borderId="14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9" fontId="7" fillId="0" borderId="5" xfId="1" applyNumberFormat="1" applyFont="1" applyBorder="1" applyAlignment="1">
      <alignment horizontal="center"/>
    </xf>
    <xf numFmtId="9" fontId="7" fillId="0" borderId="4" xfId="1" applyNumberFormat="1" applyFont="1" applyBorder="1" applyAlignment="1">
      <alignment horizontal="center"/>
    </xf>
    <xf numFmtId="9" fontId="7" fillId="0" borderId="9" xfId="1" applyNumberFormat="1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5" fillId="0" borderId="6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2" fontId="6" fillId="0" borderId="10" xfId="0" applyNumberFormat="1" applyFont="1" applyBorder="1" applyAlignment="1">
      <alignment horizontal="center" vertical="center" wrapText="1"/>
    </xf>
    <xf numFmtId="2" fontId="6" fillId="0" borderId="11" xfId="0" applyNumberFormat="1" applyFont="1" applyBorder="1" applyAlignment="1">
      <alignment horizontal="center" vertical="center" wrapText="1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9" fillId="0" borderId="0" xfId="2" applyBorder="1"/>
  </cellXfs>
  <cellStyles count="3">
    <cellStyle name="Hyperlink" xfId="2" xr:uid="{00000000-000B-0000-0000-000008000000}"/>
    <cellStyle name="Normal" xfId="0" builtinId="0"/>
    <cellStyle name="Porcentaje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crisvic_2009@hotmail.com" TargetMode="External"/><Relationship Id="rId2" Type="http://schemas.openxmlformats.org/officeDocument/2006/relationships/hyperlink" Target="mailto:linamaria123@hotmail.com" TargetMode="External"/><Relationship Id="rId1" Type="http://schemas.openxmlformats.org/officeDocument/2006/relationships/hyperlink" Target="mailto:1123@hotmail.com" TargetMode="External"/><Relationship Id="rId4" Type="http://schemas.openxmlformats.org/officeDocument/2006/relationships/hyperlink" Target="mailto:mcabreracelec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K190"/>
  <sheetViews>
    <sheetView tabSelected="1" topLeftCell="X1" workbookViewId="0" xr3:uid="{AEA406A1-0E4B-5B11-9CD5-51D6E497D94C}">
      <selection activeCell="AC6" sqref="AC6"/>
    </sheetView>
  </sheetViews>
  <sheetFormatPr defaultColWidth="9.140625" defaultRowHeight="30" customHeight="1"/>
  <cols>
    <col min="1" max="1" width="14.85546875" customWidth="1"/>
    <col min="2" max="2" width="17.42578125" customWidth="1"/>
    <col min="3" max="3" width="23.140625" customWidth="1"/>
    <col min="4" max="4" width="15.42578125" customWidth="1"/>
    <col min="5" max="5" width="12.42578125" customWidth="1"/>
    <col min="6" max="6" width="16.28515625" customWidth="1"/>
    <col min="7" max="7" width="15.140625" customWidth="1"/>
    <col min="8" max="8" width="13.140625" customWidth="1"/>
    <col min="9" max="9" width="14.140625" customWidth="1"/>
    <col min="10" max="10" width="32.140625" customWidth="1"/>
    <col min="11" max="11" width="17.7109375" customWidth="1"/>
    <col min="12" max="12" width="27.140625" customWidth="1"/>
    <col min="13" max="13" width="20.140625" customWidth="1"/>
    <col min="14" max="14" width="12.42578125" customWidth="1"/>
    <col min="15" max="15" width="11.28515625" customWidth="1"/>
    <col min="16" max="16" width="20.42578125" customWidth="1"/>
    <col min="17" max="17" width="13.5703125" customWidth="1"/>
    <col min="18" max="18" width="18.85546875" customWidth="1"/>
    <col min="19" max="19" width="19.42578125" customWidth="1"/>
    <col min="20" max="20" width="20.28515625" customWidth="1"/>
    <col min="21" max="21" width="23.140625" customWidth="1"/>
    <col min="22" max="22" width="24.85546875" customWidth="1"/>
    <col min="23" max="23" width="20" customWidth="1"/>
    <col min="24" max="24" width="17.28515625" customWidth="1"/>
    <col min="25" max="25" width="19.85546875" customWidth="1"/>
    <col min="26" max="26" width="14.140625" customWidth="1"/>
    <col min="27" max="27" width="14.7109375" customWidth="1"/>
    <col min="28" max="28" width="13.5703125" customWidth="1"/>
    <col min="29" max="29" width="24.28515625" customWidth="1"/>
    <col min="30" max="30" width="24.85546875" customWidth="1"/>
    <col min="31" max="31" width="17.85546875" customWidth="1"/>
    <col min="32" max="32" width="17" customWidth="1"/>
    <col min="33" max="33" width="18.42578125" customWidth="1"/>
    <col min="34" max="34" width="16.140625" customWidth="1"/>
    <col min="35" max="35" width="17.5703125" customWidth="1"/>
    <col min="36" max="36" width="34.7109375" customWidth="1"/>
    <col min="37" max="37" width="38.140625" customWidth="1"/>
    <col min="38" max="38" width="30.5703125" customWidth="1"/>
  </cols>
  <sheetData>
    <row r="1" spans="1:37" ht="99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2" t="s">
        <v>16</v>
      </c>
      <c r="R1" s="2" t="s">
        <v>17</v>
      </c>
      <c r="S1" s="2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  <c r="Z1" s="4" t="s">
        <v>25</v>
      </c>
      <c r="AA1" s="3" t="s">
        <v>26</v>
      </c>
      <c r="AB1" s="3" t="s">
        <v>27</v>
      </c>
      <c r="AC1" s="3" t="s">
        <v>28</v>
      </c>
      <c r="AD1" s="4" t="s">
        <v>29</v>
      </c>
      <c r="AE1" s="4" t="s">
        <v>30</v>
      </c>
      <c r="AF1" s="4" t="s">
        <v>31</v>
      </c>
      <c r="AG1" s="4" t="s">
        <v>32</v>
      </c>
      <c r="AH1" s="5" t="s">
        <v>33</v>
      </c>
      <c r="AI1" s="6" t="s">
        <v>34</v>
      </c>
      <c r="AJ1" s="6" t="s">
        <v>35</v>
      </c>
      <c r="AK1" s="6" t="s">
        <v>36</v>
      </c>
    </row>
    <row r="2" spans="1:37" ht="30" customHeight="1">
      <c r="A2" s="7">
        <v>619859</v>
      </c>
      <c r="B2" s="8" t="s">
        <v>37</v>
      </c>
      <c r="C2" s="8" t="s">
        <v>38</v>
      </c>
      <c r="D2" s="8" t="s">
        <v>39</v>
      </c>
      <c r="E2" s="8">
        <v>18</v>
      </c>
      <c r="F2" s="9">
        <v>1075629971</v>
      </c>
      <c r="G2" s="8" t="s">
        <v>40</v>
      </c>
      <c r="H2" s="8" t="s">
        <v>41</v>
      </c>
      <c r="I2" s="10" t="s">
        <v>42</v>
      </c>
      <c r="J2" s="8" t="s">
        <v>43</v>
      </c>
      <c r="K2" s="8" t="s">
        <v>44</v>
      </c>
      <c r="L2" s="8" t="s">
        <v>45</v>
      </c>
      <c r="M2" s="8" t="s">
        <v>46</v>
      </c>
      <c r="N2" s="8" t="s">
        <v>47</v>
      </c>
      <c r="O2" s="11" t="s">
        <v>48</v>
      </c>
      <c r="P2" s="8" t="s">
        <v>49</v>
      </c>
      <c r="Q2" s="8" t="s">
        <v>50</v>
      </c>
      <c r="R2" s="8" t="s">
        <v>51</v>
      </c>
      <c r="S2" s="8" t="s">
        <v>52</v>
      </c>
      <c r="T2" s="9">
        <v>201765</v>
      </c>
      <c r="U2" s="9">
        <v>201765</v>
      </c>
      <c r="V2" s="8" t="s">
        <v>53</v>
      </c>
      <c r="W2" s="8" t="s">
        <v>54</v>
      </c>
      <c r="X2" s="8" t="s">
        <v>55</v>
      </c>
      <c r="Y2" s="8">
        <v>0</v>
      </c>
      <c r="Z2" s="12">
        <v>36932</v>
      </c>
      <c r="AA2" s="8">
        <v>3143093104</v>
      </c>
      <c r="AB2" s="8" t="s">
        <v>56</v>
      </c>
      <c r="AC2" s="71" t="s">
        <v>57</v>
      </c>
      <c r="AD2" s="12">
        <v>43082</v>
      </c>
      <c r="AE2" s="8" t="s">
        <v>58</v>
      </c>
      <c r="AF2" s="8" t="s">
        <v>59</v>
      </c>
      <c r="AG2" s="8" t="s">
        <v>60</v>
      </c>
      <c r="AH2" s="13" t="s">
        <v>61</v>
      </c>
      <c r="AI2" s="10" t="s">
        <v>62</v>
      </c>
      <c r="AJ2" s="14" t="s">
        <v>63</v>
      </c>
      <c r="AK2" s="15" t="s">
        <v>64</v>
      </c>
    </row>
    <row r="3" spans="1:37" ht="30" customHeight="1">
      <c r="A3" s="7">
        <v>502685</v>
      </c>
      <c r="B3" s="8" t="s">
        <v>65</v>
      </c>
      <c r="C3" s="8" t="s">
        <v>66</v>
      </c>
      <c r="D3" s="8" t="s">
        <v>67</v>
      </c>
      <c r="E3" s="8">
        <v>23</v>
      </c>
      <c r="F3" s="9">
        <v>1075628444</v>
      </c>
      <c r="G3" s="8" t="s">
        <v>40</v>
      </c>
      <c r="H3" s="8" t="s">
        <v>41</v>
      </c>
      <c r="I3" s="8" t="s">
        <v>42</v>
      </c>
      <c r="J3" s="8" t="s">
        <v>43</v>
      </c>
      <c r="K3" s="8" t="s">
        <v>44</v>
      </c>
      <c r="L3" s="8" t="s">
        <v>45</v>
      </c>
      <c r="M3" s="8" t="s">
        <v>46</v>
      </c>
      <c r="N3" s="8" t="s">
        <v>47</v>
      </c>
      <c r="O3" s="8" t="s">
        <v>48</v>
      </c>
      <c r="P3" s="8" t="s">
        <v>49</v>
      </c>
      <c r="Q3" s="8" t="s">
        <v>68</v>
      </c>
      <c r="R3" s="8" t="s">
        <v>69</v>
      </c>
      <c r="S3" s="8" t="s">
        <v>52</v>
      </c>
      <c r="T3" s="9">
        <v>201765</v>
      </c>
      <c r="U3" s="9">
        <v>201565</v>
      </c>
      <c r="V3" s="8" t="s">
        <v>53</v>
      </c>
      <c r="W3" s="8" t="s">
        <v>70</v>
      </c>
      <c r="X3" s="8" t="s">
        <v>71</v>
      </c>
      <c r="Y3" s="8">
        <v>3115094699</v>
      </c>
      <c r="Z3" s="12">
        <v>42164</v>
      </c>
      <c r="AA3" s="8">
        <v>3138819450</v>
      </c>
      <c r="AB3" s="8" t="s">
        <v>72</v>
      </c>
      <c r="AC3" s="71" t="s">
        <v>73</v>
      </c>
      <c r="AD3" s="12">
        <v>43063</v>
      </c>
      <c r="AE3" s="8" t="s">
        <v>74</v>
      </c>
      <c r="AF3" s="8" t="s">
        <v>59</v>
      </c>
      <c r="AG3" s="8" t="s">
        <v>75</v>
      </c>
      <c r="AH3" s="13" t="s">
        <v>61</v>
      </c>
      <c r="AI3" s="16" t="s">
        <v>76</v>
      </c>
      <c r="AJ3" s="15" t="s">
        <v>77</v>
      </c>
      <c r="AK3" s="15" t="s">
        <v>78</v>
      </c>
    </row>
    <row r="4" spans="1:37" ht="30" customHeight="1">
      <c r="A4" s="7">
        <v>299838</v>
      </c>
      <c r="B4" s="8" t="s">
        <v>79</v>
      </c>
      <c r="C4" s="8" t="s">
        <v>80</v>
      </c>
      <c r="D4" s="8" t="s">
        <v>39</v>
      </c>
      <c r="E4" s="8">
        <v>32</v>
      </c>
      <c r="F4" s="9">
        <v>80358424</v>
      </c>
      <c r="G4" s="8" t="s">
        <v>40</v>
      </c>
      <c r="H4" s="8" t="s">
        <v>41</v>
      </c>
      <c r="I4" s="8" t="s">
        <v>42</v>
      </c>
      <c r="J4" s="8" t="s">
        <v>43</v>
      </c>
      <c r="K4" s="8" t="s">
        <v>44</v>
      </c>
      <c r="L4" s="8" t="s">
        <v>45</v>
      </c>
      <c r="M4" s="8" t="s">
        <v>46</v>
      </c>
      <c r="N4" s="8" t="s">
        <v>47</v>
      </c>
      <c r="O4" s="8" t="s">
        <v>48</v>
      </c>
      <c r="P4" s="8" t="s">
        <v>49</v>
      </c>
      <c r="Q4" s="8" t="s">
        <v>68</v>
      </c>
      <c r="R4" s="8" t="s">
        <v>69</v>
      </c>
      <c r="S4" s="8" t="s">
        <v>52</v>
      </c>
      <c r="T4" s="9">
        <v>201765</v>
      </c>
      <c r="U4" s="9">
        <v>201315</v>
      </c>
      <c r="V4" s="8" t="s">
        <v>53</v>
      </c>
      <c r="W4" s="8" t="s">
        <v>70</v>
      </c>
      <c r="X4" s="8" t="s">
        <v>81</v>
      </c>
      <c r="Y4" s="8">
        <v>3107787039</v>
      </c>
      <c r="Z4" s="12">
        <v>42384</v>
      </c>
      <c r="AA4" s="8">
        <v>0</v>
      </c>
      <c r="AB4" s="8" t="s">
        <v>82</v>
      </c>
      <c r="AC4" s="71" t="s">
        <v>83</v>
      </c>
      <c r="AD4" s="12">
        <v>43063</v>
      </c>
      <c r="AE4" s="8" t="s">
        <v>84</v>
      </c>
      <c r="AF4" s="8" t="s">
        <v>59</v>
      </c>
      <c r="AG4" s="8" t="s">
        <v>85</v>
      </c>
      <c r="AH4" s="13" t="s">
        <v>61</v>
      </c>
      <c r="AI4" s="16" t="s">
        <v>86</v>
      </c>
      <c r="AJ4" s="14" t="s">
        <v>87</v>
      </c>
      <c r="AK4" s="15" t="s">
        <v>88</v>
      </c>
    </row>
    <row r="5" spans="1:37" ht="30" customHeight="1">
      <c r="A5" s="7">
        <v>649110</v>
      </c>
      <c r="B5" s="8" t="s">
        <v>89</v>
      </c>
      <c r="C5" s="8" t="s">
        <v>90</v>
      </c>
      <c r="D5" s="8" t="s">
        <v>67</v>
      </c>
      <c r="E5" s="8">
        <v>18</v>
      </c>
      <c r="F5" s="9">
        <v>1106901107</v>
      </c>
      <c r="G5" s="8" t="s">
        <v>40</v>
      </c>
      <c r="H5" s="8" t="s">
        <v>41</v>
      </c>
      <c r="I5" s="8" t="s">
        <v>42</v>
      </c>
      <c r="J5" s="8" t="s">
        <v>43</v>
      </c>
      <c r="K5" s="8" t="s">
        <v>44</v>
      </c>
      <c r="L5" s="8" t="s">
        <v>45</v>
      </c>
      <c r="M5" s="8" t="s">
        <v>46</v>
      </c>
      <c r="N5" s="8" t="s">
        <v>47</v>
      </c>
      <c r="O5" s="8" t="s">
        <v>48</v>
      </c>
      <c r="P5" s="8" t="s">
        <v>49</v>
      </c>
      <c r="Q5" s="8" t="s">
        <v>68</v>
      </c>
      <c r="R5" s="8" t="s">
        <v>69</v>
      </c>
      <c r="S5" s="8" t="s">
        <v>52</v>
      </c>
      <c r="T5" s="9">
        <v>201765</v>
      </c>
      <c r="U5" s="9">
        <v>201765</v>
      </c>
      <c r="V5" s="8" t="s">
        <v>53</v>
      </c>
      <c r="W5" s="8" t="s">
        <v>54</v>
      </c>
      <c r="X5" s="8" t="s">
        <v>91</v>
      </c>
      <c r="Y5" s="8">
        <v>3112673628</v>
      </c>
      <c r="Z5" s="12">
        <v>42952</v>
      </c>
      <c r="AA5" s="8">
        <v>82879307</v>
      </c>
      <c r="AB5" s="8" t="s">
        <v>92</v>
      </c>
      <c r="AC5" s="71" t="s">
        <v>93</v>
      </c>
      <c r="AD5" s="12">
        <v>43082</v>
      </c>
      <c r="AE5" s="8" t="s">
        <v>94</v>
      </c>
      <c r="AF5" s="8" t="s">
        <v>95</v>
      </c>
      <c r="AG5" s="8" t="s">
        <v>96</v>
      </c>
      <c r="AH5" s="13" t="s">
        <v>61</v>
      </c>
      <c r="AI5" s="16" t="s">
        <v>97</v>
      </c>
      <c r="AJ5" s="15" t="s">
        <v>98</v>
      </c>
      <c r="AK5" s="15" t="s">
        <v>78</v>
      </c>
    </row>
    <row r="6" spans="1:37" ht="30" customHeight="1">
      <c r="A6" s="7">
        <v>636060</v>
      </c>
      <c r="B6" s="8" t="s">
        <v>99</v>
      </c>
      <c r="C6" s="8" t="s">
        <v>100</v>
      </c>
      <c r="D6" s="8" t="s">
        <v>67</v>
      </c>
      <c r="E6" s="8">
        <v>23</v>
      </c>
      <c r="F6" s="9">
        <v>1116262092</v>
      </c>
      <c r="G6" s="8" t="s">
        <v>40</v>
      </c>
      <c r="H6" s="8" t="s">
        <v>41</v>
      </c>
      <c r="I6" s="8" t="s">
        <v>42</v>
      </c>
      <c r="J6" s="8" t="s">
        <v>43</v>
      </c>
      <c r="K6" s="8" t="s">
        <v>44</v>
      </c>
      <c r="L6" s="8" t="s">
        <v>45</v>
      </c>
      <c r="M6" s="8" t="s">
        <v>46</v>
      </c>
      <c r="N6" s="8" t="s">
        <v>47</v>
      </c>
      <c r="O6" s="8" t="s">
        <v>48</v>
      </c>
      <c r="P6" s="8" t="s">
        <v>49</v>
      </c>
      <c r="Q6" s="8" t="s">
        <v>68</v>
      </c>
      <c r="R6" s="8" t="s">
        <v>69</v>
      </c>
      <c r="S6" s="8" t="s">
        <v>52</v>
      </c>
      <c r="T6" s="9">
        <v>201765</v>
      </c>
      <c r="U6" s="9">
        <v>201765</v>
      </c>
      <c r="V6" s="8" t="s">
        <v>53</v>
      </c>
      <c r="W6" s="8" t="s">
        <v>54</v>
      </c>
      <c r="X6" s="8" t="s">
        <v>91</v>
      </c>
      <c r="Y6" s="8">
        <v>3202935413</v>
      </c>
      <c r="Z6" s="12">
        <v>42886</v>
      </c>
      <c r="AA6" s="8">
        <v>3173880834</v>
      </c>
      <c r="AB6" s="8" t="s">
        <v>101</v>
      </c>
      <c r="AC6" s="8" t="s">
        <v>102</v>
      </c>
      <c r="AD6" s="12">
        <v>43082</v>
      </c>
      <c r="AE6" s="8" t="s">
        <v>103</v>
      </c>
      <c r="AF6" s="8" t="s">
        <v>95</v>
      </c>
      <c r="AG6" s="8" t="s">
        <v>96</v>
      </c>
      <c r="AH6" s="13" t="s">
        <v>61</v>
      </c>
      <c r="AI6" s="17" t="s">
        <v>104</v>
      </c>
      <c r="AJ6" s="15" t="s">
        <v>105</v>
      </c>
      <c r="AK6" s="15" t="s">
        <v>106</v>
      </c>
    </row>
    <row r="7" spans="1:37" ht="30" customHeight="1">
      <c r="A7" s="7"/>
      <c r="B7" s="8"/>
      <c r="C7" s="8"/>
      <c r="D7" s="8"/>
      <c r="E7" s="8"/>
      <c r="F7" s="9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9"/>
      <c r="U7" s="9"/>
      <c r="V7" s="8"/>
      <c r="W7" s="8"/>
      <c r="X7" s="8"/>
      <c r="Y7" s="8"/>
      <c r="Z7" s="12"/>
      <c r="AA7" s="8"/>
      <c r="AB7" s="8"/>
      <c r="AC7" s="8"/>
      <c r="AD7" s="12"/>
      <c r="AE7" s="8"/>
      <c r="AF7" s="8"/>
      <c r="AG7" s="8"/>
      <c r="AH7" s="13"/>
      <c r="AI7" s="16"/>
      <c r="AJ7" s="15"/>
      <c r="AK7" s="15"/>
    </row>
    <row r="8" spans="1:37" ht="30" customHeight="1">
      <c r="A8" s="7"/>
      <c r="B8" s="8"/>
      <c r="C8" s="8"/>
      <c r="D8" s="8"/>
      <c r="E8" s="8"/>
      <c r="F8" s="9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9"/>
      <c r="U8" s="9"/>
      <c r="V8" s="8"/>
      <c r="W8" s="8"/>
      <c r="X8" s="8"/>
      <c r="Y8" s="8"/>
      <c r="Z8" s="12"/>
      <c r="AA8" s="8"/>
      <c r="AB8" s="8"/>
      <c r="AC8" s="8"/>
      <c r="AD8" s="12"/>
      <c r="AE8" s="8"/>
      <c r="AF8" s="8"/>
      <c r="AG8" s="8"/>
      <c r="AH8" s="13"/>
      <c r="AI8" s="16"/>
      <c r="AJ8" s="15"/>
      <c r="AK8" s="15"/>
    </row>
    <row r="9" spans="1:37" ht="30" customHeight="1">
      <c r="A9" s="7"/>
      <c r="B9" s="8"/>
      <c r="C9" s="8"/>
      <c r="D9" s="8"/>
      <c r="E9" s="8"/>
      <c r="F9" s="9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9"/>
      <c r="U9" s="9"/>
      <c r="V9" s="8"/>
      <c r="W9" s="8"/>
      <c r="X9" s="8"/>
      <c r="Y9" s="8"/>
      <c r="Z9" s="12"/>
      <c r="AA9" s="8"/>
      <c r="AB9" s="8"/>
      <c r="AC9" s="8"/>
      <c r="AD9" s="12"/>
      <c r="AE9" s="8"/>
      <c r="AF9" s="8"/>
      <c r="AG9" s="8"/>
      <c r="AH9" s="13"/>
      <c r="AI9" s="17"/>
      <c r="AJ9" s="15"/>
      <c r="AK9" s="15"/>
    </row>
    <row r="10" spans="1:37" ht="30" customHeight="1">
      <c r="A10" s="7"/>
      <c r="B10" s="8"/>
      <c r="C10" s="8"/>
      <c r="D10" s="8"/>
      <c r="E10" s="8"/>
      <c r="F10" s="9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9"/>
      <c r="U10" s="9"/>
      <c r="V10" s="8"/>
      <c r="W10" s="8"/>
      <c r="X10" s="8"/>
      <c r="Y10" s="8"/>
      <c r="Z10" s="12"/>
      <c r="AA10" s="8"/>
      <c r="AB10" s="8"/>
      <c r="AC10" s="8"/>
      <c r="AD10" s="12"/>
      <c r="AE10" s="8"/>
      <c r="AF10" s="8"/>
      <c r="AG10" s="8"/>
      <c r="AH10" s="13"/>
      <c r="AI10" s="16"/>
      <c r="AJ10" s="15"/>
      <c r="AK10" s="15"/>
    </row>
    <row r="11" spans="1:37" ht="30" customHeight="1">
      <c r="A11" s="7"/>
      <c r="B11" s="8"/>
      <c r="C11" s="8"/>
      <c r="D11" s="8"/>
      <c r="E11" s="8"/>
      <c r="F11" s="9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9"/>
      <c r="U11" s="9"/>
      <c r="V11" s="8"/>
      <c r="W11" s="8"/>
      <c r="X11" s="8"/>
      <c r="Y11" s="8"/>
      <c r="Z11" s="12"/>
      <c r="AA11" s="8"/>
      <c r="AB11" s="8"/>
      <c r="AC11" s="8"/>
      <c r="AD11" s="12"/>
      <c r="AE11" s="8"/>
      <c r="AF11" s="8"/>
      <c r="AG11" s="8"/>
      <c r="AH11" s="13"/>
      <c r="AI11" s="17"/>
      <c r="AJ11" s="15"/>
      <c r="AK11" s="15"/>
    </row>
    <row r="12" spans="1:37" ht="30" customHeight="1">
      <c r="A12" s="7"/>
      <c r="B12" s="8"/>
      <c r="C12" s="8"/>
      <c r="D12" s="8"/>
      <c r="E12" s="8"/>
      <c r="F12" s="9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9"/>
      <c r="U12" s="9"/>
      <c r="V12" s="8"/>
      <c r="W12" s="8"/>
      <c r="X12" s="8"/>
      <c r="Y12" s="8"/>
      <c r="Z12" s="12"/>
      <c r="AA12" s="8"/>
      <c r="AB12" s="8"/>
      <c r="AC12" s="8"/>
      <c r="AD12" s="12"/>
      <c r="AE12" s="8"/>
      <c r="AF12" s="8"/>
      <c r="AG12" s="8"/>
      <c r="AH12" s="13"/>
      <c r="AI12" s="17"/>
      <c r="AJ12" s="14"/>
      <c r="AK12" s="15"/>
    </row>
    <row r="13" spans="1:37" ht="30" customHeight="1">
      <c r="A13" s="7"/>
      <c r="B13" s="8"/>
      <c r="C13" s="8"/>
      <c r="D13" s="8"/>
      <c r="E13" s="8"/>
      <c r="F13" s="9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9"/>
      <c r="U13" s="9"/>
      <c r="V13" s="8"/>
      <c r="W13" s="8"/>
      <c r="X13" s="8"/>
      <c r="Y13" s="8"/>
      <c r="Z13" s="12"/>
      <c r="AA13" s="8"/>
      <c r="AB13" s="8"/>
      <c r="AC13" s="8"/>
      <c r="AD13" s="12"/>
      <c r="AE13" s="8"/>
      <c r="AF13" s="8"/>
      <c r="AG13" s="8"/>
      <c r="AH13" s="13"/>
      <c r="AI13" s="18"/>
      <c r="AJ13" s="15"/>
      <c r="AK13" s="15"/>
    </row>
    <row r="14" spans="1:37" ht="30" customHeight="1">
      <c r="A14" s="7"/>
      <c r="B14" s="8"/>
      <c r="C14" s="8"/>
      <c r="D14" s="8"/>
      <c r="E14" s="8"/>
      <c r="F14" s="9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9"/>
      <c r="U14" s="9"/>
      <c r="V14" s="8"/>
      <c r="W14" s="8"/>
      <c r="X14" s="8"/>
      <c r="Y14" s="8"/>
      <c r="Z14" s="12"/>
      <c r="AA14" s="8"/>
      <c r="AB14" s="8"/>
      <c r="AC14" s="8"/>
      <c r="AD14" s="12"/>
      <c r="AE14" s="8"/>
      <c r="AF14" s="8"/>
      <c r="AG14" s="8"/>
      <c r="AH14" s="13"/>
      <c r="AI14" s="19"/>
      <c r="AJ14" s="15"/>
      <c r="AK14" s="15"/>
    </row>
    <row r="15" spans="1:37" ht="30" customHeight="1">
      <c r="A15" s="7"/>
      <c r="B15" s="8"/>
      <c r="C15" s="8"/>
      <c r="D15" s="8"/>
      <c r="E15" s="8"/>
      <c r="F15" s="9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9"/>
      <c r="U15" s="9"/>
      <c r="V15" s="8"/>
      <c r="W15" s="8"/>
      <c r="X15" s="8"/>
      <c r="Y15" s="8"/>
      <c r="Z15" s="12"/>
      <c r="AA15" s="8"/>
      <c r="AB15" s="8"/>
      <c r="AC15" s="8"/>
      <c r="AD15" s="12"/>
      <c r="AE15" s="8"/>
      <c r="AF15" s="8"/>
      <c r="AG15" s="8"/>
      <c r="AH15" s="13"/>
      <c r="AI15" s="19"/>
      <c r="AJ15" s="14"/>
      <c r="AK15" s="15"/>
    </row>
    <row r="16" spans="1:37" ht="30" customHeight="1">
      <c r="A16" s="7"/>
      <c r="B16" s="8"/>
      <c r="C16" s="8"/>
      <c r="D16" s="8"/>
      <c r="E16" s="8"/>
      <c r="F16" s="9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9"/>
      <c r="U16" s="9"/>
      <c r="V16" s="8"/>
      <c r="W16" s="8"/>
      <c r="X16" s="8"/>
      <c r="Y16" s="8"/>
      <c r="Z16" s="12"/>
      <c r="AA16" s="8"/>
      <c r="AB16" s="8"/>
      <c r="AC16" s="8"/>
      <c r="AD16" s="12"/>
      <c r="AE16" s="8"/>
      <c r="AF16" s="8"/>
      <c r="AG16" s="8"/>
      <c r="AH16" s="13"/>
      <c r="AI16" s="20"/>
      <c r="AJ16" s="15"/>
      <c r="AK16" s="15"/>
    </row>
    <row r="17" spans="1:37" ht="30" customHeight="1">
      <c r="A17" s="7"/>
      <c r="B17" s="8"/>
      <c r="C17" s="8"/>
      <c r="D17" s="8"/>
      <c r="E17" s="8"/>
      <c r="F17" s="9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9"/>
      <c r="U17" s="9"/>
      <c r="V17" s="8"/>
      <c r="W17" s="8"/>
      <c r="X17" s="8"/>
      <c r="Y17" s="8"/>
      <c r="Z17" s="12"/>
      <c r="AA17" s="8"/>
      <c r="AB17" s="8"/>
      <c r="AC17" s="8"/>
      <c r="AD17" s="12"/>
      <c r="AE17" s="8"/>
      <c r="AF17" s="8"/>
      <c r="AG17" s="8"/>
      <c r="AH17" s="13"/>
      <c r="AI17" s="19"/>
      <c r="AJ17" s="14"/>
      <c r="AK17" s="15"/>
    </row>
    <row r="18" spans="1:37" ht="30" customHeight="1">
      <c r="A18" s="7"/>
      <c r="B18" s="8"/>
      <c r="C18" s="8"/>
      <c r="D18" s="8"/>
      <c r="E18" s="8"/>
      <c r="F18" s="9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9"/>
      <c r="U18" s="9"/>
      <c r="V18" s="8"/>
      <c r="W18" s="8"/>
      <c r="X18" s="8"/>
      <c r="Y18" s="8"/>
      <c r="Z18" s="12"/>
      <c r="AA18" s="8"/>
      <c r="AB18" s="8"/>
      <c r="AC18" s="8"/>
      <c r="AD18" s="12"/>
      <c r="AE18" s="8"/>
      <c r="AF18" s="8"/>
      <c r="AG18" s="8"/>
      <c r="AH18" s="13"/>
      <c r="AI18" s="16"/>
      <c r="AJ18" s="15"/>
      <c r="AK18" s="15"/>
    </row>
    <row r="19" spans="1:37" ht="30" customHeight="1">
      <c r="A19" s="7"/>
      <c r="B19" s="8"/>
      <c r="C19" s="8"/>
      <c r="D19" s="8"/>
      <c r="E19" s="8"/>
      <c r="F19" s="9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9"/>
      <c r="U19" s="9"/>
      <c r="V19" s="8"/>
      <c r="W19" s="8"/>
      <c r="X19" s="8"/>
      <c r="Y19" s="8"/>
      <c r="Z19" s="12"/>
      <c r="AA19" s="8"/>
      <c r="AB19" s="8"/>
      <c r="AC19" s="8"/>
      <c r="AD19" s="12"/>
      <c r="AE19" s="8"/>
      <c r="AF19" s="8"/>
      <c r="AG19" s="8"/>
      <c r="AH19" s="13"/>
      <c r="AI19" s="17"/>
      <c r="AJ19" s="14"/>
      <c r="AK19" s="15"/>
    </row>
    <row r="20" spans="1:37" ht="30" customHeight="1">
      <c r="A20" s="7"/>
      <c r="B20" s="8"/>
      <c r="C20" s="8"/>
      <c r="D20" s="8"/>
      <c r="E20" s="8"/>
      <c r="F20" s="9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9"/>
      <c r="U20" s="9"/>
      <c r="V20" s="8"/>
      <c r="W20" s="8"/>
      <c r="X20" s="8"/>
      <c r="Y20" s="8"/>
      <c r="Z20" s="12"/>
      <c r="AA20" s="8"/>
      <c r="AB20" s="8"/>
      <c r="AC20" s="8"/>
      <c r="AD20" s="12"/>
      <c r="AE20" s="8"/>
      <c r="AF20" s="8"/>
      <c r="AG20" s="8"/>
      <c r="AH20" s="13"/>
      <c r="AI20" s="8"/>
      <c r="AJ20" s="14"/>
      <c r="AK20" s="15"/>
    </row>
    <row r="21" spans="1:37" ht="30" customHeight="1">
      <c r="A21" s="7"/>
      <c r="B21" s="8"/>
      <c r="C21" s="8"/>
      <c r="D21" s="8"/>
      <c r="E21" s="8"/>
      <c r="F21" s="9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9"/>
      <c r="U21" s="9"/>
      <c r="V21" s="8"/>
      <c r="W21" s="8"/>
      <c r="X21" s="8"/>
      <c r="Y21" s="8"/>
      <c r="Z21" s="12"/>
      <c r="AA21" s="8"/>
      <c r="AB21" s="8"/>
      <c r="AC21" s="8"/>
      <c r="AD21" s="12"/>
      <c r="AE21" s="8"/>
      <c r="AF21" s="8"/>
      <c r="AG21" s="8"/>
      <c r="AH21" s="13"/>
      <c r="AI21" s="10"/>
      <c r="AJ21" s="14"/>
      <c r="AK21" s="15"/>
    </row>
    <row r="22" spans="1:37" ht="30" customHeight="1">
      <c r="A22" s="7"/>
      <c r="B22" s="8"/>
      <c r="C22" s="8"/>
      <c r="D22" s="8"/>
      <c r="E22" s="8"/>
      <c r="F22" s="9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9"/>
      <c r="U22" s="9"/>
      <c r="V22" s="8"/>
      <c r="W22" s="8"/>
      <c r="X22" s="8"/>
      <c r="Y22" s="8"/>
      <c r="Z22" s="12"/>
      <c r="AA22" s="8"/>
      <c r="AB22" s="8"/>
      <c r="AC22" s="8"/>
      <c r="AD22" s="12"/>
      <c r="AE22" s="8"/>
      <c r="AF22" s="8"/>
      <c r="AG22" s="8"/>
      <c r="AH22" s="13"/>
      <c r="AI22" s="10"/>
      <c r="AJ22" s="15"/>
      <c r="AK22" s="15"/>
    </row>
    <row r="23" spans="1:37" ht="30" customHeight="1">
      <c r="A23" s="7"/>
      <c r="B23" s="8"/>
      <c r="C23" s="8"/>
      <c r="D23" s="8"/>
      <c r="E23" s="8"/>
      <c r="F23" s="9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9"/>
      <c r="U23" s="9"/>
      <c r="V23" s="8"/>
      <c r="W23" s="8"/>
      <c r="X23" s="8"/>
      <c r="Y23" s="8"/>
      <c r="Z23" s="12"/>
      <c r="AA23" s="8"/>
      <c r="AB23" s="8"/>
      <c r="AC23" s="8"/>
      <c r="AD23" s="12"/>
      <c r="AE23" s="8"/>
      <c r="AF23" s="8"/>
      <c r="AG23" s="8"/>
      <c r="AH23" s="13"/>
      <c r="AI23" s="10"/>
      <c r="AJ23" s="14"/>
      <c r="AK23" s="15"/>
    </row>
    <row r="24" spans="1:37" ht="30" customHeight="1">
      <c r="A24" s="7"/>
      <c r="B24" s="8"/>
      <c r="C24" s="8"/>
      <c r="D24" s="8"/>
      <c r="E24" s="8"/>
      <c r="F24" s="9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9"/>
      <c r="U24" s="9"/>
      <c r="V24" s="8"/>
      <c r="W24" s="8"/>
      <c r="X24" s="8"/>
      <c r="Y24" s="8"/>
      <c r="Z24" s="12"/>
      <c r="AA24" s="8"/>
      <c r="AB24" s="8"/>
      <c r="AC24" s="8"/>
      <c r="AD24" s="12"/>
      <c r="AE24" s="8"/>
      <c r="AF24" s="8"/>
      <c r="AG24" s="8"/>
      <c r="AH24" s="13"/>
      <c r="AI24" s="10"/>
      <c r="AJ24" s="14"/>
      <c r="AK24" s="15"/>
    </row>
    <row r="25" spans="1:37" ht="30" customHeight="1">
      <c r="A25" s="7"/>
      <c r="B25" s="8"/>
      <c r="C25" s="8"/>
      <c r="D25" s="8"/>
      <c r="E25" s="8"/>
      <c r="F25" s="9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9"/>
      <c r="U25" s="9"/>
      <c r="V25" s="8"/>
      <c r="W25" s="8"/>
      <c r="X25" s="8"/>
      <c r="Y25" s="8"/>
      <c r="Z25" s="12"/>
      <c r="AA25" s="8"/>
      <c r="AB25" s="8"/>
      <c r="AC25" s="8"/>
      <c r="AD25" s="12"/>
      <c r="AE25" s="8"/>
      <c r="AF25" s="8"/>
      <c r="AG25" s="8"/>
      <c r="AH25" s="13"/>
      <c r="AI25" s="10"/>
      <c r="AJ25" s="14"/>
      <c r="AK25" s="15"/>
    </row>
    <row r="26" spans="1:37" ht="30" customHeight="1">
      <c r="A26" s="7"/>
      <c r="B26" s="8"/>
      <c r="C26" s="8"/>
      <c r="D26" s="8"/>
      <c r="E26" s="8"/>
      <c r="F26" s="9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9"/>
      <c r="U26" s="9"/>
      <c r="V26" s="8"/>
      <c r="W26" s="8"/>
      <c r="X26" s="8"/>
      <c r="Y26" s="8"/>
      <c r="Z26" s="12"/>
      <c r="AA26" s="8"/>
      <c r="AB26" s="8"/>
      <c r="AC26" s="8"/>
      <c r="AD26" s="12"/>
      <c r="AE26" s="8"/>
      <c r="AF26" s="8"/>
      <c r="AG26" s="8"/>
      <c r="AH26" s="13"/>
      <c r="AI26" s="10"/>
      <c r="AJ26" s="14"/>
      <c r="AK26" s="15"/>
    </row>
    <row r="27" spans="1:37" ht="30" customHeight="1">
      <c r="A27" s="7"/>
      <c r="B27" s="8"/>
      <c r="C27" s="8"/>
      <c r="D27" s="8"/>
      <c r="E27" s="8"/>
      <c r="F27" s="9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9"/>
      <c r="U27" s="9"/>
      <c r="V27" s="8"/>
      <c r="W27" s="8"/>
      <c r="X27" s="8"/>
      <c r="Y27" s="8"/>
      <c r="Z27" s="12"/>
      <c r="AA27" s="8"/>
      <c r="AB27" s="8"/>
      <c r="AC27" s="8"/>
      <c r="AD27" s="12"/>
      <c r="AE27" s="8"/>
      <c r="AF27" s="8"/>
      <c r="AG27" s="8"/>
      <c r="AH27" s="13"/>
      <c r="AI27" s="10"/>
      <c r="AJ27" s="14"/>
      <c r="AK27" s="15"/>
    </row>
    <row r="28" spans="1:37" ht="30" customHeight="1">
      <c r="A28" s="7"/>
      <c r="B28" s="8"/>
      <c r="C28" s="8"/>
      <c r="D28" s="8"/>
      <c r="E28" s="8"/>
      <c r="F28" s="9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9"/>
      <c r="U28" s="9"/>
      <c r="V28" s="8"/>
      <c r="W28" s="8"/>
      <c r="X28" s="8"/>
      <c r="Y28" s="8"/>
      <c r="Z28" s="12"/>
      <c r="AA28" s="8"/>
      <c r="AB28" s="8"/>
      <c r="AC28" s="8"/>
      <c r="AD28" s="12"/>
      <c r="AE28" s="8"/>
      <c r="AF28" s="8"/>
      <c r="AG28" s="8"/>
      <c r="AH28" s="13"/>
      <c r="AI28" s="10"/>
      <c r="AJ28" s="15"/>
      <c r="AK28" s="15"/>
    </row>
    <row r="29" spans="1:37" ht="30" customHeight="1">
      <c r="A29" s="7"/>
      <c r="B29" s="8"/>
      <c r="C29" s="8"/>
      <c r="D29" s="8"/>
      <c r="E29" s="8"/>
      <c r="F29" s="9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9"/>
      <c r="U29" s="9"/>
      <c r="V29" s="8"/>
      <c r="W29" s="8"/>
      <c r="X29" s="8"/>
      <c r="Y29" s="8"/>
      <c r="Z29" s="12"/>
      <c r="AA29" s="8"/>
      <c r="AB29" s="8"/>
      <c r="AC29" s="8"/>
      <c r="AD29" s="12"/>
      <c r="AE29" s="8"/>
      <c r="AF29" s="8"/>
      <c r="AG29" s="8"/>
      <c r="AH29" s="13"/>
      <c r="AI29" s="10"/>
      <c r="AJ29" s="14"/>
      <c r="AK29" s="15"/>
    </row>
    <row r="30" spans="1:37" ht="30" customHeight="1">
      <c r="A30" s="7"/>
      <c r="B30" s="8"/>
      <c r="C30" s="8"/>
      <c r="D30" s="8"/>
      <c r="E30" s="8"/>
      <c r="F30" s="9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9"/>
      <c r="U30" s="9"/>
      <c r="V30" s="8"/>
      <c r="W30" s="8"/>
      <c r="X30" s="8"/>
      <c r="Y30" s="8"/>
      <c r="Z30" s="12"/>
      <c r="AA30" s="8"/>
      <c r="AB30" s="8"/>
      <c r="AC30" s="8"/>
      <c r="AD30" s="12"/>
      <c r="AE30" s="8"/>
      <c r="AF30" s="8"/>
      <c r="AG30" s="8"/>
      <c r="AH30" s="13"/>
      <c r="AI30" s="10"/>
      <c r="AJ30" s="15"/>
      <c r="AK30" s="15"/>
    </row>
    <row r="31" spans="1:37" ht="30" customHeight="1">
      <c r="A31" s="7"/>
      <c r="B31" s="8"/>
      <c r="C31" s="8"/>
      <c r="D31" s="8"/>
      <c r="E31" s="8"/>
      <c r="F31" s="9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9"/>
      <c r="U31" s="9"/>
      <c r="V31" s="8"/>
      <c r="W31" s="8"/>
      <c r="X31" s="8"/>
      <c r="Y31" s="8"/>
      <c r="Z31" s="12"/>
      <c r="AA31" s="8"/>
      <c r="AB31" s="8"/>
      <c r="AC31" s="8"/>
      <c r="AD31" s="12"/>
      <c r="AE31" s="8"/>
      <c r="AF31" s="8"/>
      <c r="AG31" s="8"/>
      <c r="AH31" s="13"/>
      <c r="AI31" s="10"/>
      <c r="AJ31" s="15"/>
      <c r="AK31" s="15"/>
    </row>
    <row r="32" spans="1:37" ht="30" customHeight="1">
      <c r="A32" s="7"/>
      <c r="B32" s="8"/>
      <c r="C32" s="8"/>
      <c r="D32" s="8"/>
      <c r="E32" s="8"/>
      <c r="F32" s="9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9"/>
      <c r="U32" s="9"/>
      <c r="V32" s="8"/>
      <c r="W32" s="8"/>
      <c r="X32" s="8"/>
      <c r="Y32" s="8"/>
      <c r="Z32" s="12"/>
      <c r="AA32" s="8"/>
      <c r="AB32" s="8"/>
      <c r="AC32" s="8"/>
      <c r="AD32" s="12"/>
      <c r="AE32" s="8"/>
      <c r="AF32" s="8"/>
      <c r="AG32" s="8"/>
      <c r="AH32" s="13"/>
      <c r="AI32" s="10"/>
      <c r="AJ32" s="14"/>
      <c r="AK32" s="15"/>
    </row>
    <row r="33" spans="1:37" ht="30" customHeight="1">
      <c r="A33" s="7"/>
      <c r="B33" s="8"/>
      <c r="C33" s="8"/>
      <c r="D33" s="8"/>
      <c r="E33" s="8"/>
      <c r="F33" s="9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9"/>
      <c r="U33" s="9"/>
      <c r="V33" s="8"/>
      <c r="W33" s="8"/>
      <c r="X33" s="8"/>
      <c r="Y33" s="8"/>
      <c r="Z33" s="12"/>
      <c r="AA33" s="8"/>
      <c r="AB33" s="8"/>
      <c r="AC33" s="8"/>
      <c r="AD33" s="12"/>
      <c r="AE33" s="8"/>
      <c r="AF33" s="8"/>
      <c r="AG33" s="8"/>
      <c r="AH33" s="13"/>
      <c r="AI33" s="10"/>
      <c r="AJ33" s="14"/>
      <c r="AK33" s="15"/>
    </row>
    <row r="34" spans="1:37" ht="30" customHeight="1">
      <c r="A34" s="7"/>
      <c r="B34" s="8"/>
      <c r="C34" s="8"/>
      <c r="D34" s="8"/>
      <c r="E34" s="8"/>
      <c r="F34" s="9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9"/>
      <c r="U34" s="9"/>
      <c r="V34" s="8"/>
      <c r="W34" s="8"/>
      <c r="X34" s="8"/>
      <c r="Y34" s="8"/>
      <c r="Z34" s="12"/>
      <c r="AA34" s="8"/>
      <c r="AB34" s="8"/>
      <c r="AC34" s="8"/>
      <c r="AD34" s="12"/>
      <c r="AE34" s="8"/>
      <c r="AF34" s="8"/>
      <c r="AG34" s="8"/>
      <c r="AH34" s="13"/>
      <c r="AI34" s="10"/>
      <c r="AJ34" s="14"/>
      <c r="AK34" s="15"/>
    </row>
    <row r="35" spans="1:37" ht="30" customHeight="1">
      <c r="A35" s="7"/>
      <c r="B35" s="8"/>
      <c r="C35" s="8"/>
      <c r="D35" s="8"/>
      <c r="E35" s="8"/>
      <c r="F35" s="9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9"/>
      <c r="U35" s="9"/>
      <c r="V35" s="8"/>
      <c r="W35" s="8"/>
      <c r="X35" s="8"/>
      <c r="Y35" s="8"/>
      <c r="Z35" s="12"/>
      <c r="AA35" s="8"/>
      <c r="AB35" s="8"/>
      <c r="AC35" s="8"/>
      <c r="AD35" s="12"/>
      <c r="AE35" s="8"/>
      <c r="AF35" s="8"/>
      <c r="AG35" s="8"/>
      <c r="AH35" s="13"/>
      <c r="AI35" s="10"/>
      <c r="AJ35" s="14"/>
      <c r="AK35" s="15"/>
    </row>
    <row r="36" spans="1:37" ht="30" customHeight="1">
      <c r="A36" s="7"/>
      <c r="B36" s="8"/>
      <c r="C36" s="8"/>
      <c r="D36" s="8"/>
      <c r="E36" s="8"/>
      <c r="F36" s="9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9"/>
      <c r="U36" s="9"/>
      <c r="V36" s="8"/>
      <c r="W36" s="8"/>
      <c r="X36" s="8"/>
      <c r="Y36" s="8"/>
      <c r="Z36" s="12"/>
      <c r="AA36" s="8"/>
      <c r="AB36" s="8"/>
      <c r="AC36" s="8"/>
      <c r="AD36" s="12"/>
      <c r="AE36" s="8"/>
      <c r="AF36" s="8"/>
      <c r="AG36" s="8"/>
      <c r="AH36" s="13"/>
      <c r="AI36" s="10"/>
      <c r="AJ36" s="14"/>
      <c r="AK36" s="15"/>
    </row>
    <row r="37" spans="1:37" ht="30" customHeight="1">
      <c r="A37" s="7"/>
      <c r="B37" s="8"/>
      <c r="C37" s="8"/>
      <c r="D37" s="8"/>
      <c r="E37" s="8"/>
      <c r="F37" s="9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9"/>
      <c r="U37" s="9"/>
      <c r="V37" s="8"/>
      <c r="W37" s="8"/>
      <c r="X37" s="8"/>
      <c r="Y37" s="8"/>
      <c r="Z37" s="12"/>
      <c r="AA37" s="8"/>
      <c r="AB37" s="8"/>
      <c r="AC37" s="8"/>
      <c r="AD37" s="12"/>
      <c r="AE37" s="8"/>
      <c r="AF37" s="8"/>
      <c r="AG37" s="8"/>
      <c r="AH37" s="13"/>
      <c r="AI37" s="10"/>
      <c r="AJ37" s="15"/>
      <c r="AK37" s="15"/>
    </row>
    <row r="38" spans="1:37" ht="30" customHeight="1">
      <c r="A38" s="7"/>
      <c r="B38" s="8"/>
      <c r="C38" s="8"/>
      <c r="D38" s="8"/>
      <c r="E38" s="8"/>
      <c r="F38" s="9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9"/>
      <c r="U38" s="9"/>
      <c r="V38" s="8"/>
      <c r="W38" s="8"/>
      <c r="X38" s="8"/>
      <c r="Y38" s="8"/>
      <c r="Z38" s="12"/>
      <c r="AA38" s="8"/>
      <c r="AB38" s="8"/>
      <c r="AC38" s="8"/>
      <c r="AD38" s="12"/>
      <c r="AE38" s="8"/>
      <c r="AF38" s="8"/>
      <c r="AG38" s="8"/>
      <c r="AH38" s="13"/>
      <c r="AI38" s="10"/>
      <c r="AJ38" s="14"/>
      <c r="AK38" s="15"/>
    </row>
    <row r="39" spans="1:37" ht="30" customHeight="1">
      <c r="A39" s="7"/>
      <c r="B39" s="8"/>
      <c r="C39" s="8"/>
      <c r="D39" s="8"/>
      <c r="E39" s="8"/>
      <c r="F39" s="9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9"/>
      <c r="U39" s="9"/>
      <c r="V39" s="8"/>
      <c r="W39" s="8"/>
      <c r="X39" s="8"/>
      <c r="Y39" s="8"/>
      <c r="Z39" s="12"/>
      <c r="AA39" s="8"/>
      <c r="AB39" s="8"/>
      <c r="AC39" s="8"/>
      <c r="AD39" s="12"/>
      <c r="AE39" s="8"/>
      <c r="AF39" s="8"/>
      <c r="AG39" s="8"/>
      <c r="AH39" s="13"/>
      <c r="AI39" s="10"/>
      <c r="AJ39" s="15"/>
      <c r="AK39" s="15"/>
    </row>
    <row r="40" spans="1:37" ht="30" customHeight="1">
      <c r="A40" s="7"/>
      <c r="B40" s="8"/>
      <c r="C40" s="8"/>
      <c r="D40" s="8"/>
      <c r="E40" s="8"/>
      <c r="F40" s="9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9"/>
      <c r="U40" s="9"/>
      <c r="V40" s="8"/>
      <c r="W40" s="8"/>
      <c r="X40" s="8"/>
      <c r="Y40" s="8"/>
      <c r="Z40" s="12"/>
      <c r="AA40" s="8"/>
      <c r="AB40" s="8"/>
      <c r="AC40" s="8"/>
      <c r="AD40" s="12"/>
      <c r="AE40" s="8"/>
      <c r="AF40" s="8"/>
      <c r="AG40" s="8"/>
      <c r="AH40" s="13"/>
      <c r="AI40" s="10"/>
      <c r="AJ40" s="14"/>
      <c r="AK40" s="15"/>
    </row>
    <row r="41" spans="1:37" ht="30" customHeight="1">
      <c r="A41" s="7"/>
      <c r="B41" s="8"/>
      <c r="C41" s="8"/>
      <c r="D41" s="8"/>
      <c r="E41" s="8"/>
      <c r="F41" s="9"/>
      <c r="G41" s="8"/>
      <c r="H41" s="8"/>
      <c r="I41" s="10"/>
      <c r="J41" s="8"/>
      <c r="K41" s="8"/>
      <c r="L41" s="8"/>
      <c r="M41" s="8"/>
      <c r="N41" s="8"/>
      <c r="O41" s="8"/>
      <c r="P41" s="8"/>
      <c r="Q41" s="8"/>
      <c r="R41" s="8"/>
      <c r="S41" s="8"/>
      <c r="T41" s="9"/>
      <c r="U41" s="9"/>
      <c r="V41" s="10"/>
      <c r="W41" s="8"/>
      <c r="X41" s="8"/>
      <c r="Y41" s="10"/>
      <c r="Z41" s="12"/>
      <c r="AA41" s="8"/>
      <c r="AB41" s="8"/>
      <c r="AC41" s="8"/>
      <c r="AD41" s="12"/>
      <c r="AE41" s="8"/>
      <c r="AF41" s="8"/>
      <c r="AG41" s="8"/>
      <c r="AH41" s="13"/>
      <c r="AI41" s="21"/>
      <c r="AJ41" s="22"/>
      <c r="AK41" s="23"/>
    </row>
    <row r="42" spans="1:37" ht="30" customHeight="1">
      <c r="A42" s="7"/>
      <c r="B42" s="8"/>
      <c r="C42" s="8"/>
      <c r="D42" s="8"/>
      <c r="E42" s="8"/>
      <c r="F42" s="9"/>
      <c r="G42" s="8"/>
      <c r="H42" s="8"/>
      <c r="I42" s="10"/>
      <c r="J42" s="8"/>
      <c r="K42" s="8"/>
      <c r="L42" s="8"/>
      <c r="M42" s="8"/>
      <c r="N42" s="8"/>
      <c r="O42" s="8"/>
      <c r="P42" s="8"/>
      <c r="Q42" s="8"/>
      <c r="R42" s="8"/>
      <c r="S42" s="8"/>
      <c r="T42" s="9"/>
      <c r="U42" s="9"/>
      <c r="V42" s="10"/>
      <c r="W42" s="8"/>
      <c r="X42" s="8"/>
      <c r="Y42" s="10"/>
      <c r="Z42" s="12"/>
      <c r="AA42" s="8"/>
      <c r="AB42" s="8"/>
      <c r="AC42" s="8"/>
      <c r="AD42" s="12"/>
      <c r="AE42" s="8"/>
      <c r="AF42" s="8"/>
      <c r="AG42" s="8"/>
      <c r="AH42" s="13"/>
      <c r="AI42" s="21"/>
      <c r="AJ42" s="22"/>
      <c r="AK42" s="23"/>
    </row>
    <row r="43" spans="1:37" ht="30" customHeight="1">
      <c r="A43" s="7"/>
      <c r="B43" s="8"/>
      <c r="C43" s="8"/>
      <c r="D43" s="8"/>
      <c r="E43" s="8"/>
      <c r="F43" s="9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9"/>
      <c r="U43" s="9"/>
      <c r="V43" s="8"/>
      <c r="W43" s="8"/>
      <c r="X43" s="8"/>
      <c r="Y43" s="8"/>
      <c r="Z43" s="12"/>
      <c r="AA43" s="8"/>
      <c r="AB43" s="8"/>
      <c r="AC43" s="8"/>
      <c r="AD43" s="12"/>
      <c r="AE43" s="8"/>
      <c r="AF43" s="8"/>
      <c r="AG43" s="8"/>
      <c r="AH43" s="13"/>
      <c r="AI43" s="10"/>
      <c r="AJ43" s="15"/>
      <c r="AK43" s="15"/>
    </row>
    <row r="44" spans="1:37" ht="30" customHeight="1">
      <c r="A44" s="7"/>
      <c r="B44" s="8"/>
      <c r="C44" s="8"/>
      <c r="D44" s="8"/>
      <c r="E44" s="8"/>
      <c r="F44" s="9"/>
      <c r="G44" s="8"/>
      <c r="H44" s="8"/>
      <c r="I44" s="10"/>
      <c r="J44" s="8"/>
      <c r="K44" s="8"/>
      <c r="L44" s="8"/>
      <c r="M44" s="8"/>
      <c r="N44" s="8"/>
      <c r="O44" s="8"/>
      <c r="P44" s="8"/>
      <c r="Q44" s="8"/>
      <c r="R44" s="8"/>
      <c r="S44" s="8"/>
      <c r="T44" s="9"/>
      <c r="U44" s="9"/>
      <c r="V44" s="10"/>
      <c r="W44" s="8"/>
      <c r="X44" s="8"/>
      <c r="Y44" s="10"/>
      <c r="Z44" s="12"/>
      <c r="AA44" s="8"/>
      <c r="AB44" s="8"/>
      <c r="AC44" s="8"/>
      <c r="AD44" s="12"/>
      <c r="AE44" s="8"/>
      <c r="AF44" s="8"/>
      <c r="AG44" s="8"/>
      <c r="AH44" s="13"/>
      <c r="AI44" s="21"/>
      <c r="AJ44" s="22"/>
      <c r="AK44" s="23"/>
    </row>
    <row r="45" spans="1:37" ht="30" customHeight="1">
      <c r="A45" s="7"/>
      <c r="B45" s="8"/>
      <c r="C45" s="8"/>
      <c r="D45" s="8"/>
      <c r="E45" s="8"/>
      <c r="F45" s="9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9"/>
      <c r="U45" s="9"/>
      <c r="V45" s="8"/>
      <c r="W45" s="8"/>
      <c r="X45" s="8"/>
      <c r="Y45" s="8"/>
      <c r="Z45" s="12"/>
      <c r="AA45" s="8"/>
      <c r="AB45" s="8"/>
      <c r="AC45" s="8"/>
      <c r="AD45" s="12"/>
      <c r="AE45" s="8"/>
      <c r="AF45" s="8"/>
      <c r="AG45" s="8"/>
      <c r="AH45" s="13"/>
      <c r="AI45" s="10"/>
      <c r="AJ45" s="15"/>
      <c r="AK45" s="15"/>
    </row>
    <row r="46" spans="1:37" ht="30" customHeight="1">
      <c r="A46" s="7"/>
      <c r="B46" s="8"/>
      <c r="C46" s="8"/>
      <c r="D46" s="8"/>
      <c r="E46" s="8"/>
      <c r="F46" s="9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9"/>
      <c r="U46" s="9"/>
      <c r="V46" s="8"/>
      <c r="W46" s="8"/>
      <c r="X46" s="8"/>
      <c r="Y46" s="8"/>
      <c r="Z46" s="12"/>
      <c r="AA46" s="8"/>
      <c r="AB46" s="8"/>
      <c r="AC46" s="8"/>
      <c r="AD46" s="12"/>
      <c r="AE46" s="8"/>
      <c r="AF46" s="8"/>
      <c r="AG46" s="8"/>
      <c r="AH46" s="13"/>
      <c r="AI46" s="10"/>
      <c r="AJ46" s="14"/>
      <c r="AK46" s="15"/>
    </row>
    <row r="47" spans="1:37" ht="30" customHeight="1">
      <c r="A47" s="7"/>
      <c r="B47" s="8"/>
      <c r="C47" s="8"/>
      <c r="D47" s="8"/>
      <c r="E47" s="8"/>
      <c r="F47" s="9"/>
      <c r="G47" s="8"/>
      <c r="H47" s="8"/>
      <c r="I47" s="10"/>
      <c r="J47" s="8"/>
      <c r="K47" s="8"/>
      <c r="L47" s="8"/>
      <c r="M47" s="8"/>
      <c r="N47" s="8"/>
      <c r="O47" s="8"/>
      <c r="P47" s="8"/>
      <c r="Q47" s="8"/>
      <c r="R47" s="8"/>
      <c r="S47" s="8"/>
      <c r="T47" s="9"/>
      <c r="U47" s="9"/>
      <c r="V47" s="10"/>
      <c r="W47" s="8"/>
      <c r="X47" s="8"/>
      <c r="Y47" s="10"/>
      <c r="Z47" s="12"/>
      <c r="AA47" s="8"/>
      <c r="AB47" s="8"/>
      <c r="AC47" s="8"/>
      <c r="AD47" s="12"/>
      <c r="AE47" s="8"/>
      <c r="AF47" s="8"/>
      <c r="AG47" s="8"/>
      <c r="AH47" s="13"/>
      <c r="AI47" s="21"/>
      <c r="AJ47" s="22"/>
      <c r="AK47" s="23"/>
    </row>
    <row r="48" spans="1:37" ht="30" customHeight="1">
      <c r="A48" s="7"/>
      <c r="B48" s="8"/>
      <c r="C48" s="8"/>
      <c r="D48" s="8"/>
      <c r="E48" s="8"/>
      <c r="F48" s="9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9"/>
      <c r="U48" s="9"/>
      <c r="V48" s="8"/>
      <c r="W48" s="8"/>
      <c r="X48" s="8"/>
      <c r="Y48" s="8"/>
      <c r="Z48" s="12"/>
      <c r="AA48" s="8"/>
      <c r="AB48" s="8"/>
      <c r="AC48" s="8"/>
      <c r="AD48" s="12"/>
      <c r="AE48" s="8"/>
      <c r="AF48" s="8"/>
      <c r="AG48" s="8"/>
      <c r="AH48" s="13"/>
      <c r="AI48" s="10"/>
      <c r="AJ48" s="14"/>
      <c r="AK48" s="15"/>
    </row>
    <row r="49" spans="1:37" ht="30" customHeight="1">
      <c r="A49" s="7"/>
      <c r="B49" s="8"/>
      <c r="C49" s="8"/>
      <c r="D49" s="8"/>
      <c r="E49" s="8"/>
      <c r="F49" s="9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9"/>
      <c r="U49" s="9"/>
      <c r="V49" s="8"/>
      <c r="W49" s="8"/>
      <c r="X49" s="8"/>
      <c r="Y49" s="8"/>
      <c r="Z49" s="12"/>
      <c r="AA49" s="8"/>
      <c r="AB49" s="8"/>
      <c r="AC49" s="8"/>
      <c r="AD49" s="12"/>
      <c r="AE49" s="8"/>
      <c r="AF49" s="8"/>
      <c r="AG49" s="8"/>
      <c r="AH49" s="13"/>
      <c r="AI49" s="10"/>
      <c r="AJ49" s="14"/>
      <c r="AK49" s="15"/>
    </row>
    <row r="50" spans="1:37" ht="30" customHeight="1">
      <c r="A50" s="7"/>
      <c r="B50" s="8"/>
      <c r="C50" s="8"/>
      <c r="D50" s="8"/>
      <c r="E50" s="8"/>
      <c r="F50" s="9"/>
      <c r="G50" s="8"/>
      <c r="H50" s="8"/>
      <c r="I50" s="10"/>
      <c r="J50" s="8"/>
      <c r="K50" s="8"/>
      <c r="L50" s="8"/>
      <c r="M50" s="8"/>
      <c r="N50" s="8"/>
      <c r="O50" s="8"/>
      <c r="P50" s="8"/>
      <c r="Q50" s="8"/>
      <c r="R50" s="8"/>
      <c r="S50" s="8"/>
      <c r="T50" s="9"/>
      <c r="U50" s="9"/>
      <c r="V50" s="10"/>
      <c r="W50" s="8"/>
      <c r="X50" s="8"/>
      <c r="Y50" s="10"/>
      <c r="Z50" s="12"/>
      <c r="AA50" s="8"/>
      <c r="AB50" s="8"/>
      <c r="AC50" s="8"/>
      <c r="AD50" s="12"/>
      <c r="AE50" s="8"/>
      <c r="AF50" s="8"/>
      <c r="AG50" s="8"/>
      <c r="AH50" s="13"/>
      <c r="AI50" s="21"/>
      <c r="AJ50" s="22"/>
      <c r="AK50" s="23"/>
    </row>
    <row r="51" spans="1:37" ht="30" customHeight="1">
      <c r="A51" s="7"/>
      <c r="B51" s="8"/>
      <c r="C51" s="8"/>
      <c r="D51" s="8"/>
      <c r="E51" s="8"/>
      <c r="F51" s="9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9"/>
      <c r="U51" s="9"/>
      <c r="V51" s="8"/>
      <c r="W51" s="8"/>
      <c r="X51" s="8"/>
      <c r="Y51" s="8"/>
      <c r="Z51" s="12"/>
      <c r="AA51" s="8"/>
      <c r="AB51" s="8"/>
      <c r="AC51" s="8"/>
      <c r="AD51" s="12"/>
      <c r="AE51" s="8"/>
      <c r="AF51" s="8"/>
      <c r="AG51" s="8"/>
      <c r="AH51" s="13"/>
      <c r="AI51" s="10"/>
      <c r="AJ51" s="14"/>
      <c r="AK51" s="15"/>
    </row>
    <row r="52" spans="1:37" ht="30" customHeight="1">
      <c r="A52" s="7"/>
      <c r="B52" s="8"/>
      <c r="C52" s="8"/>
      <c r="D52" s="8"/>
      <c r="E52" s="8"/>
      <c r="F52" s="9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9"/>
      <c r="U52" s="9"/>
      <c r="V52" s="8"/>
      <c r="W52" s="8"/>
      <c r="X52" s="8"/>
      <c r="Y52" s="8"/>
      <c r="Z52" s="12"/>
      <c r="AA52" s="8"/>
      <c r="AB52" s="8"/>
      <c r="AC52" s="8"/>
      <c r="AD52" s="12"/>
      <c r="AE52" s="8"/>
      <c r="AF52" s="8"/>
      <c r="AG52" s="8"/>
      <c r="AH52" s="13"/>
      <c r="AI52" s="10"/>
      <c r="AJ52" s="15"/>
      <c r="AK52" s="15"/>
    </row>
    <row r="53" spans="1:37" ht="30" customHeight="1">
      <c r="A53" s="7"/>
      <c r="B53" s="8"/>
      <c r="C53" s="8"/>
      <c r="D53" s="8"/>
      <c r="E53" s="8"/>
      <c r="F53" s="9"/>
      <c r="G53" s="8"/>
      <c r="H53" s="8"/>
      <c r="I53" s="10"/>
      <c r="J53" s="8"/>
      <c r="K53" s="8"/>
      <c r="L53" s="8"/>
      <c r="M53" s="8"/>
      <c r="N53" s="8"/>
      <c r="O53" s="8"/>
      <c r="P53" s="8"/>
      <c r="Q53" s="8"/>
      <c r="R53" s="8"/>
      <c r="S53" s="8"/>
      <c r="T53" s="9"/>
      <c r="U53" s="9"/>
      <c r="V53" s="10"/>
      <c r="W53" s="8"/>
      <c r="X53" s="8"/>
      <c r="Y53" s="10"/>
      <c r="Z53" s="12"/>
      <c r="AA53" s="8"/>
      <c r="AB53" s="8"/>
      <c r="AC53" s="8"/>
      <c r="AD53" s="12"/>
      <c r="AE53" s="8"/>
      <c r="AF53" s="8"/>
      <c r="AG53" s="8"/>
      <c r="AH53" s="13"/>
      <c r="AI53" s="21"/>
      <c r="AJ53" s="22"/>
      <c r="AK53" s="23"/>
    </row>
    <row r="54" spans="1:37" ht="30" customHeight="1">
      <c r="A54" s="7"/>
      <c r="B54" s="8"/>
      <c r="C54" s="8"/>
      <c r="D54" s="8"/>
      <c r="E54" s="8"/>
      <c r="F54" s="9"/>
      <c r="G54" s="8"/>
      <c r="H54" s="8"/>
      <c r="I54" s="10"/>
      <c r="J54" s="8"/>
      <c r="K54" s="8"/>
      <c r="L54" s="8"/>
      <c r="M54" s="8"/>
      <c r="N54" s="8"/>
      <c r="O54" s="8"/>
      <c r="P54" s="8"/>
      <c r="Q54" s="8"/>
      <c r="R54" s="8"/>
      <c r="S54" s="8"/>
      <c r="T54" s="9"/>
      <c r="U54" s="9"/>
      <c r="V54" s="10"/>
      <c r="W54" s="8"/>
      <c r="X54" s="8"/>
      <c r="Y54" s="10"/>
      <c r="Z54" s="12"/>
      <c r="AA54" s="8"/>
      <c r="AB54" s="8"/>
      <c r="AC54" s="8"/>
      <c r="AD54" s="12"/>
      <c r="AE54" s="8"/>
      <c r="AF54" s="8"/>
      <c r="AG54" s="8"/>
      <c r="AH54" s="13"/>
      <c r="AI54" s="21"/>
      <c r="AJ54" s="22"/>
      <c r="AK54" s="23"/>
    </row>
    <row r="55" spans="1:37" ht="30" customHeight="1">
      <c r="A55" s="7"/>
      <c r="B55" s="8"/>
      <c r="C55" s="8"/>
      <c r="D55" s="8"/>
      <c r="E55" s="8"/>
      <c r="F55" s="9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9"/>
      <c r="U55" s="9"/>
      <c r="V55" s="8"/>
      <c r="W55" s="8"/>
      <c r="X55" s="8"/>
      <c r="Y55" s="8"/>
      <c r="Z55" s="12"/>
      <c r="AA55" s="8"/>
      <c r="AB55" s="8"/>
      <c r="AC55" s="8"/>
      <c r="AD55" s="12"/>
      <c r="AE55" s="8"/>
      <c r="AF55" s="8"/>
      <c r="AG55" s="8"/>
      <c r="AH55" s="13"/>
      <c r="AI55" s="10"/>
      <c r="AJ55" s="14"/>
      <c r="AK55" s="15"/>
    </row>
    <row r="56" spans="1:37" ht="30" customHeight="1">
      <c r="A56" s="7"/>
      <c r="B56" s="8"/>
      <c r="C56" s="8"/>
      <c r="D56" s="8"/>
      <c r="E56" s="8"/>
      <c r="F56" s="9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9"/>
      <c r="U56" s="9"/>
      <c r="V56" s="8"/>
      <c r="W56" s="8"/>
      <c r="X56" s="8"/>
      <c r="Y56" s="8"/>
      <c r="Z56" s="12"/>
      <c r="AA56" s="8"/>
      <c r="AB56" s="8"/>
      <c r="AC56" s="8"/>
      <c r="AD56" s="12"/>
      <c r="AE56" s="8"/>
      <c r="AF56" s="8"/>
      <c r="AG56" s="8"/>
      <c r="AH56" s="13"/>
      <c r="AI56" s="24"/>
      <c r="AJ56" s="14"/>
      <c r="AK56" s="15"/>
    </row>
    <row r="57" spans="1:37" ht="30" customHeight="1">
      <c r="A57" s="7"/>
      <c r="B57" s="8"/>
      <c r="C57" s="8"/>
      <c r="D57" s="8"/>
      <c r="E57" s="8"/>
      <c r="F57" s="9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9"/>
      <c r="U57" s="9"/>
      <c r="V57" s="8"/>
      <c r="W57" s="8"/>
      <c r="X57" s="8"/>
      <c r="Y57" s="8"/>
      <c r="Z57" s="12"/>
      <c r="AA57" s="8"/>
      <c r="AB57" s="8"/>
      <c r="AC57" s="8"/>
      <c r="AD57" s="12"/>
      <c r="AE57" s="8"/>
      <c r="AF57" s="8"/>
      <c r="AG57" s="8"/>
      <c r="AH57" s="13"/>
      <c r="AI57" s="24"/>
      <c r="AJ57" s="14"/>
      <c r="AK57" s="15"/>
    </row>
    <row r="58" spans="1:37" ht="30" customHeight="1">
      <c r="A58" s="7"/>
      <c r="B58" s="8"/>
      <c r="C58" s="8"/>
      <c r="D58" s="8"/>
      <c r="E58" s="8"/>
      <c r="F58" s="9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9"/>
      <c r="U58" s="9"/>
      <c r="V58" s="8"/>
      <c r="W58" s="8"/>
      <c r="X58" s="8"/>
      <c r="Y58" s="8"/>
      <c r="Z58" s="12"/>
      <c r="AA58" s="8"/>
      <c r="AB58" s="8"/>
      <c r="AC58" s="8"/>
      <c r="AD58" s="12"/>
      <c r="AE58" s="8"/>
      <c r="AF58" s="8"/>
      <c r="AG58" s="8"/>
      <c r="AH58" s="13"/>
      <c r="AI58" s="24"/>
      <c r="AJ58" s="14"/>
      <c r="AK58" s="15"/>
    </row>
    <row r="59" spans="1:37" ht="30" customHeight="1">
      <c r="A59" s="7"/>
      <c r="B59" s="8"/>
      <c r="C59" s="8"/>
      <c r="D59" s="8"/>
      <c r="E59" s="8"/>
      <c r="F59" s="9"/>
      <c r="G59" s="8"/>
      <c r="H59" s="8"/>
      <c r="I59" s="10"/>
      <c r="J59" s="8"/>
      <c r="K59" s="8"/>
      <c r="L59" s="8"/>
      <c r="M59" s="8"/>
      <c r="N59" s="8"/>
      <c r="O59" s="8"/>
      <c r="P59" s="8"/>
      <c r="Q59" s="8"/>
      <c r="R59" s="8"/>
      <c r="S59" s="8"/>
      <c r="T59" s="9"/>
      <c r="U59" s="9"/>
      <c r="V59" s="10"/>
      <c r="W59" s="8"/>
      <c r="X59" s="8"/>
      <c r="Y59" s="10"/>
      <c r="Z59" s="12"/>
      <c r="AA59" s="8"/>
      <c r="AB59" s="8"/>
      <c r="AC59" s="8"/>
      <c r="AD59" s="12"/>
      <c r="AE59" s="8"/>
      <c r="AF59" s="8"/>
      <c r="AG59" s="8"/>
      <c r="AH59" s="13"/>
      <c r="AI59" s="21"/>
      <c r="AJ59" s="22"/>
      <c r="AK59" s="23"/>
    </row>
    <row r="60" spans="1:37" ht="30" customHeight="1">
      <c r="A60" s="7"/>
      <c r="B60" s="8"/>
      <c r="C60" s="8"/>
      <c r="D60" s="8"/>
      <c r="E60" s="8"/>
      <c r="F60" s="9"/>
      <c r="G60" s="8"/>
      <c r="H60" s="8"/>
      <c r="I60" s="10"/>
      <c r="J60" s="8"/>
      <c r="K60" s="8"/>
      <c r="L60" s="8"/>
      <c r="M60" s="8"/>
      <c r="N60" s="8"/>
      <c r="O60" s="8"/>
      <c r="P60" s="8"/>
      <c r="Q60" s="8"/>
      <c r="R60" s="8"/>
      <c r="S60" s="8"/>
      <c r="T60" s="9"/>
      <c r="U60" s="9"/>
      <c r="V60" s="10"/>
      <c r="W60" s="8"/>
      <c r="X60" s="8"/>
      <c r="Y60" s="10"/>
      <c r="Z60" s="12"/>
      <c r="AA60" s="8"/>
      <c r="AB60" s="8"/>
      <c r="AC60" s="8"/>
      <c r="AD60" s="12"/>
      <c r="AE60" s="8"/>
      <c r="AF60" s="8"/>
      <c r="AG60" s="8"/>
      <c r="AH60" s="13"/>
      <c r="AI60" s="21"/>
      <c r="AJ60" s="22"/>
      <c r="AK60" s="23"/>
    </row>
    <row r="61" spans="1:37" ht="30" customHeight="1">
      <c r="A61" s="7"/>
      <c r="B61" s="8"/>
      <c r="C61" s="8"/>
      <c r="D61" s="8"/>
      <c r="E61" s="8"/>
      <c r="F61" s="9"/>
      <c r="G61" s="8"/>
      <c r="H61" s="8"/>
      <c r="I61" s="10"/>
      <c r="J61" s="8"/>
      <c r="K61" s="8"/>
      <c r="L61" s="8"/>
      <c r="M61" s="8"/>
      <c r="N61" s="8"/>
      <c r="O61" s="8"/>
      <c r="P61" s="8"/>
      <c r="Q61" s="8"/>
      <c r="R61" s="8"/>
      <c r="S61" s="8"/>
      <c r="T61" s="9"/>
      <c r="U61" s="9"/>
      <c r="V61" s="10"/>
      <c r="W61" s="8"/>
      <c r="X61" s="8"/>
      <c r="Y61" s="10"/>
      <c r="Z61" s="12"/>
      <c r="AA61" s="8"/>
      <c r="AB61" s="8"/>
      <c r="AC61" s="8"/>
      <c r="AD61" s="12"/>
      <c r="AE61" s="8"/>
      <c r="AF61" s="8"/>
      <c r="AG61" s="8"/>
      <c r="AH61" s="13"/>
      <c r="AI61" s="21"/>
      <c r="AJ61" s="22"/>
      <c r="AK61" s="23"/>
    </row>
    <row r="62" spans="1:37" ht="30" customHeight="1">
      <c r="A62" s="7"/>
      <c r="B62" s="8"/>
      <c r="C62" s="8"/>
      <c r="D62" s="8"/>
      <c r="E62" s="8"/>
      <c r="F62" s="9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9"/>
      <c r="U62" s="9"/>
      <c r="V62" s="8"/>
      <c r="W62" s="8"/>
      <c r="X62" s="8"/>
      <c r="Y62" s="8"/>
      <c r="Z62" s="12"/>
      <c r="AA62" s="8"/>
      <c r="AB62" s="8"/>
      <c r="AC62" s="8"/>
      <c r="AD62" s="12"/>
      <c r="AE62" s="8"/>
      <c r="AF62" s="8"/>
      <c r="AG62" s="8"/>
      <c r="AH62" s="13"/>
      <c r="AI62" s="10"/>
      <c r="AJ62" s="15"/>
      <c r="AK62" s="15"/>
    </row>
    <row r="63" spans="1:37" ht="30" customHeight="1">
      <c r="A63" s="7"/>
      <c r="B63" s="8"/>
      <c r="C63" s="8"/>
      <c r="D63" s="8"/>
      <c r="E63" s="8"/>
      <c r="F63" s="9"/>
      <c r="G63" s="8"/>
      <c r="H63" s="8"/>
      <c r="I63" s="10"/>
      <c r="J63" s="8"/>
      <c r="K63" s="8"/>
      <c r="L63" s="8"/>
      <c r="M63" s="8"/>
      <c r="N63" s="8"/>
      <c r="O63" s="8"/>
      <c r="P63" s="8"/>
      <c r="Q63" s="8"/>
      <c r="R63" s="8"/>
      <c r="S63" s="8"/>
      <c r="T63" s="9"/>
      <c r="U63" s="9"/>
      <c r="V63" s="10"/>
      <c r="W63" s="8"/>
      <c r="X63" s="8"/>
      <c r="Y63" s="10"/>
      <c r="Z63" s="12"/>
      <c r="AA63" s="8"/>
      <c r="AB63" s="8"/>
      <c r="AC63" s="8"/>
      <c r="AD63" s="12"/>
      <c r="AE63" s="8"/>
      <c r="AF63" s="8"/>
      <c r="AG63" s="8"/>
      <c r="AH63" s="13"/>
      <c r="AI63" s="21"/>
      <c r="AJ63" s="22"/>
      <c r="AK63" s="23"/>
    </row>
    <row r="64" spans="1:37" ht="30" customHeight="1">
      <c r="A64" s="7"/>
      <c r="B64" s="8"/>
      <c r="C64" s="8"/>
      <c r="D64" s="8"/>
      <c r="E64" s="8"/>
      <c r="F64" s="9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9"/>
      <c r="U64" s="9"/>
      <c r="V64" s="8"/>
      <c r="W64" s="8"/>
      <c r="X64" s="8"/>
      <c r="Y64" s="8"/>
      <c r="Z64" s="12"/>
      <c r="AA64" s="8"/>
      <c r="AB64" s="8"/>
      <c r="AC64" s="8"/>
      <c r="AD64" s="12"/>
      <c r="AE64" s="8"/>
      <c r="AF64" s="8"/>
      <c r="AG64" s="8"/>
      <c r="AH64" s="13"/>
      <c r="AI64" s="10"/>
      <c r="AJ64" s="15"/>
      <c r="AK64" s="15"/>
    </row>
    <row r="65" spans="1:37" ht="30" customHeight="1">
      <c r="A65" s="7"/>
      <c r="B65" s="8"/>
      <c r="C65" s="8"/>
      <c r="D65" s="8"/>
      <c r="E65" s="8"/>
      <c r="F65" s="9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9"/>
      <c r="U65" s="9"/>
      <c r="V65" s="8"/>
      <c r="W65" s="8"/>
      <c r="X65" s="8"/>
      <c r="Y65" s="8"/>
      <c r="Z65" s="12"/>
      <c r="AA65" s="8"/>
      <c r="AB65" s="8"/>
      <c r="AC65" s="8"/>
      <c r="AD65" s="12"/>
      <c r="AE65" s="8"/>
      <c r="AF65" s="8"/>
      <c r="AG65" s="8"/>
      <c r="AH65" s="13"/>
      <c r="AI65" s="10"/>
      <c r="AJ65" s="15"/>
      <c r="AK65" s="15"/>
    </row>
    <row r="66" spans="1:37" ht="30" customHeight="1">
      <c r="A66" s="7"/>
      <c r="B66" s="8"/>
      <c r="C66" s="8"/>
      <c r="D66" s="8"/>
      <c r="E66" s="8"/>
      <c r="F66" s="9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9"/>
      <c r="U66" s="9"/>
      <c r="V66" s="8"/>
      <c r="W66" s="8"/>
      <c r="X66" s="8"/>
      <c r="Y66" s="8"/>
      <c r="Z66" s="12"/>
      <c r="AA66" s="8"/>
      <c r="AB66" s="8"/>
      <c r="AC66" s="8"/>
      <c r="AD66" s="12"/>
      <c r="AE66" s="8"/>
      <c r="AF66" s="8"/>
      <c r="AG66" s="8"/>
      <c r="AH66" s="13"/>
      <c r="AI66" s="10"/>
      <c r="AJ66" s="14"/>
      <c r="AK66" s="15"/>
    </row>
    <row r="67" spans="1:37" ht="30" customHeight="1">
      <c r="A67" s="7"/>
      <c r="B67" s="8"/>
      <c r="C67" s="8"/>
      <c r="D67" s="8"/>
      <c r="E67" s="8"/>
      <c r="F67" s="9"/>
      <c r="G67" s="8"/>
      <c r="H67" s="8"/>
      <c r="I67" s="10"/>
      <c r="J67" s="8"/>
      <c r="K67" s="8"/>
      <c r="L67" s="8"/>
      <c r="M67" s="8"/>
      <c r="N67" s="8"/>
      <c r="O67" s="8"/>
      <c r="P67" s="8"/>
      <c r="Q67" s="8"/>
      <c r="R67" s="8"/>
      <c r="S67" s="8"/>
      <c r="T67" s="9"/>
      <c r="U67" s="9"/>
      <c r="V67" s="10"/>
      <c r="W67" s="8"/>
      <c r="X67" s="8"/>
      <c r="Y67" s="10"/>
      <c r="Z67" s="12"/>
      <c r="AA67" s="8"/>
      <c r="AB67" s="8"/>
      <c r="AC67" s="8"/>
      <c r="AD67" s="12"/>
      <c r="AE67" s="8"/>
      <c r="AF67" s="8"/>
      <c r="AG67" s="8"/>
      <c r="AH67" s="13"/>
      <c r="AI67" s="21"/>
      <c r="AJ67" s="22"/>
      <c r="AK67" s="23"/>
    </row>
    <row r="68" spans="1:37" ht="30" customHeight="1">
      <c r="A68" s="7"/>
      <c r="B68" s="8"/>
      <c r="C68" s="8"/>
      <c r="D68" s="8"/>
      <c r="E68" s="8"/>
      <c r="F68" s="9"/>
      <c r="G68" s="8"/>
      <c r="H68" s="8"/>
      <c r="I68" s="10"/>
      <c r="J68" s="8"/>
      <c r="K68" s="8"/>
      <c r="L68" s="8"/>
      <c r="M68" s="8"/>
      <c r="N68" s="8"/>
      <c r="O68" s="8"/>
      <c r="P68" s="8"/>
      <c r="Q68" s="8"/>
      <c r="R68" s="8"/>
      <c r="S68" s="8"/>
      <c r="T68" s="9"/>
      <c r="U68" s="9"/>
      <c r="V68" s="10"/>
      <c r="W68" s="8"/>
      <c r="X68" s="8"/>
      <c r="Y68" s="10"/>
      <c r="Z68" s="12"/>
      <c r="AA68" s="8"/>
      <c r="AB68" s="8"/>
      <c r="AC68" s="8"/>
      <c r="AD68" s="12"/>
      <c r="AE68" s="8"/>
      <c r="AF68" s="8"/>
      <c r="AG68" s="8"/>
      <c r="AH68" s="13"/>
      <c r="AI68" s="21"/>
      <c r="AJ68" s="22"/>
      <c r="AK68" s="23"/>
    </row>
    <row r="69" spans="1:37" ht="30" customHeight="1">
      <c r="A69" s="7"/>
      <c r="B69" s="8"/>
      <c r="C69" s="8"/>
      <c r="D69" s="8"/>
      <c r="E69" s="8"/>
      <c r="F69" s="9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9"/>
      <c r="U69" s="9"/>
      <c r="V69" s="8"/>
      <c r="W69" s="8"/>
      <c r="X69" s="8"/>
      <c r="Y69" s="8"/>
      <c r="Z69" s="12"/>
      <c r="AA69" s="8"/>
      <c r="AB69" s="8"/>
      <c r="AC69" s="8"/>
      <c r="AD69" s="12"/>
      <c r="AE69" s="8"/>
      <c r="AF69" s="8"/>
      <c r="AG69" s="8"/>
      <c r="AH69" s="13"/>
      <c r="AI69" s="10"/>
      <c r="AJ69" s="14"/>
      <c r="AK69" s="15"/>
    </row>
    <row r="70" spans="1:37" ht="30" customHeight="1">
      <c r="A70" s="7"/>
      <c r="B70" s="8"/>
      <c r="C70" s="8"/>
      <c r="D70" s="8"/>
      <c r="E70" s="8"/>
      <c r="F70" s="9"/>
      <c r="G70" s="8"/>
      <c r="H70" s="8"/>
      <c r="I70" s="10"/>
      <c r="J70" s="8"/>
      <c r="K70" s="8"/>
      <c r="L70" s="8"/>
      <c r="M70" s="8"/>
      <c r="N70" s="8"/>
      <c r="O70" s="8"/>
      <c r="P70" s="8"/>
      <c r="Q70" s="8"/>
      <c r="R70" s="8"/>
      <c r="S70" s="8"/>
      <c r="T70" s="9"/>
      <c r="U70" s="9"/>
      <c r="V70" s="10"/>
      <c r="W70" s="8"/>
      <c r="X70" s="8"/>
      <c r="Y70" s="10"/>
      <c r="Z70" s="12"/>
      <c r="AA70" s="8"/>
      <c r="AB70" s="8"/>
      <c r="AC70" s="8"/>
      <c r="AD70" s="12"/>
      <c r="AE70" s="8"/>
      <c r="AF70" s="8"/>
      <c r="AG70" s="8"/>
      <c r="AH70" s="13"/>
      <c r="AI70" s="21"/>
      <c r="AJ70" s="22"/>
      <c r="AK70" s="23"/>
    </row>
    <row r="71" spans="1:37" ht="30" customHeight="1">
      <c r="A71" s="7"/>
      <c r="B71" s="8"/>
      <c r="C71" s="8"/>
      <c r="D71" s="8"/>
      <c r="E71" s="8"/>
      <c r="F71" s="9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9"/>
      <c r="U71" s="9"/>
      <c r="V71" s="8"/>
      <c r="W71" s="8"/>
      <c r="X71" s="8"/>
      <c r="Y71" s="8"/>
      <c r="Z71" s="12"/>
      <c r="AA71" s="8"/>
      <c r="AB71" s="8"/>
      <c r="AC71" s="8"/>
      <c r="AD71" s="12"/>
      <c r="AE71" s="8"/>
      <c r="AF71" s="8"/>
      <c r="AG71" s="8"/>
      <c r="AH71" s="13"/>
      <c r="AI71" s="10"/>
      <c r="AJ71" s="15"/>
      <c r="AK71" s="15"/>
    </row>
    <row r="72" spans="1:37" ht="30" customHeight="1">
      <c r="A72" s="7"/>
      <c r="B72" s="8"/>
      <c r="C72" s="8"/>
      <c r="D72" s="8"/>
      <c r="E72" s="8"/>
      <c r="F72" s="9"/>
      <c r="G72" s="8"/>
      <c r="H72" s="8"/>
      <c r="I72" s="10"/>
      <c r="J72" s="8"/>
      <c r="K72" s="8"/>
      <c r="L72" s="8"/>
      <c r="M72" s="8"/>
      <c r="N72" s="8"/>
      <c r="O72" s="8"/>
      <c r="P72" s="8"/>
      <c r="Q72" s="8"/>
      <c r="R72" s="8"/>
      <c r="S72" s="8"/>
      <c r="T72" s="9"/>
      <c r="U72" s="9"/>
      <c r="V72" s="10"/>
      <c r="W72" s="8"/>
      <c r="X72" s="8"/>
      <c r="Y72" s="10"/>
      <c r="Z72" s="12"/>
      <c r="AA72" s="8"/>
      <c r="AB72" s="8"/>
      <c r="AC72" s="8"/>
      <c r="AD72" s="12"/>
      <c r="AE72" s="8"/>
      <c r="AF72" s="8"/>
      <c r="AG72" s="8"/>
      <c r="AH72" s="13"/>
      <c r="AI72" s="21"/>
      <c r="AJ72" s="22"/>
      <c r="AK72" s="23"/>
    </row>
    <row r="73" spans="1:37" ht="30" customHeight="1">
      <c r="A73" s="7"/>
      <c r="B73" s="8"/>
      <c r="C73" s="8"/>
      <c r="D73" s="8"/>
      <c r="E73" s="8"/>
      <c r="F73" s="9"/>
      <c r="G73" s="8"/>
      <c r="H73" s="8"/>
      <c r="I73" s="10"/>
      <c r="J73" s="8"/>
      <c r="K73" s="8"/>
      <c r="L73" s="8"/>
      <c r="M73" s="8"/>
      <c r="N73" s="8"/>
      <c r="O73" s="8"/>
      <c r="P73" s="8"/>
      <c r="Q73" s="8"/>
      <c r="R73" s="8"/>
      <c r="S73" s="8"/>
      <c r="T73" s="9"/>
      <c r="U73" s="9"/>
      <c r="V73" s="10"/>
      <c r="W73" s="8"/>
      <c r="X73" s="8"/>
      <c r="Y73" s="10"/>
      <c r="Z73" s="12"/>
      <c r="AA73" s="8"/>
      <c r="AB73" s="8"/>
      <c r="AC73" s="8"/>
      <c r="AD73" s="12"/>
      <c r="AE73" s="8"/>
      <c r="AF73" s="8"/>
      <c r="AG73" s="8"/>
      <c r="AH73" s="13"/>
      <c r="AI73" s="21"/>
      <c r="AJ73" s="22"/>
      <c r="AK73" s="23"/>
    </row>
    <row r="74" spans="1:37" ht="30" customHeight="1">
      <c r="A74" s="7"/>
      <c r="B74" s="8"/>
      <c r="C74" s="8"/>
      <c r="D74" s="8"/>
      <c r="E74" s="8"/>
      <c r="F74" s="9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9"/>
      <c r="U74" s="9"/>
      <c r="V74" s="8"/>
      <c r="W74" s="8"/>
      <c r="X74" s="8"/>
      <c r="Y74" s="8"/>
      <c r="Z74" s="12"/>
      <c r="AA74" s="8"/>
      <c r="AB74" s="8"/>
      <c r="AC74" s="8"/>
      <c r="AD74" s="12"/>
      <c r="AE74" s="8"/>
      <c r="AF74" s="8"/>
      <c r="AG74" s="8"/>
      <c r="AH74" s="13"/>
      <c r="AI74" s="10"/>
      <c r="AJ74" s="15"/>
      <c r="AK74" s="15"/>
    </row>
    <row r="75" spans="1:37" ht="30" customHeight="1">
      <c r="A75" s="7"/>
      <c r="B75" s="8"/>
      <c r="C75" s="8"/>
      <c r="D75" s="8"/>
      <c r="E75" s="8"/>
      <c r="F75" s="9"/>
      <c r="G75" s="8"/>
      <c r="H75" s="8"/>
      <c r="I75" s="10"/>
      <c r="J75" s="8"/>
      <c r="K75" s="8"/>
      <c r="L75" s="8"/>
      <c r="M75" s="8"/>
      <c r="N75" s="8"/>
      <c r="O75" s="8"/>
      <c r="P75" s="8"/>
      <c r="Q75" s="8"/>
      <c r="R75" s="8"/>
      <c r="S75" s="8"/>
      <c r="T75" s="9"/>
      <c r="U75" s="9"/>
      <c r="V75" s="10"/>
      <c r="W75" s="8"/>
      <c r="X75" s="8"/>
      <c r="Y75" s="10"/>
      <c r="Z75" s="12"/>
      <c r="AA75" s="8"/>
      <c r="AB75" s="8"/>
      <c r="AC75" s="8"/>
      <c r="AD75" s="12"/>
      <c r="AE75" s="8"/>
      <c r="AF75" s="8"/>
      <c r="AG75" s="8"/>
      <c r="AH75" s="13"/>
      <c r="AI75" s="21"/>
      <c r="AJ75" s="22"/>
      <c r="AK75" s="23"/>
    </row>
    <row r="76" spans="1:37" ht="30" customHeight="1">
      <c r="A76" s="7"/>
      <c r="B76" s="8"/>
      <c r="C76" s="8"/>
      <c r="D76" s="8"/>
      <c r="E76" s="8"/>
      <c r="F76" s="9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9"/>
      <c r="U76" s="9"/>
      <c r="V76" s="8"/>
      <c r="W76" s="8"/>
      <c r="X76" s="8"/>
      <c r="Y76" s="8"/>
      <c r="Z76" s="12"/>
      <c r="AA76" s="8"/>
      <c r="AB76" s="8"/>
      <c r="AC76" s="8"/>
      <c r="AD76" s="12"/>
      <c r="AE76" s="8"/>
      <c r="AF76" s="8"/>
      <c r="AG76" s="8"/>
      <c r="AH76" s="13"/>
      <c r="AI76" s="10"/>
      <c r="AJ76" s="15"/>
      <c r="AK76" s="15"/>
    </row>
    <row r="77" spans="1:37" ht="30" customHeight="1">
      <c r="A77" s="7"/>
      <c r="B77" s="8"/>
      <c r="C77" s="8"/>
      <c r="D77" s="8"/>
      <c r="E77" s="8"/>
      <c r="F77" s="9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9"/>
      <c r="U77" s="9"/>
      <c r="V77" s="8"/>
      <c r="W77" s="8"/>
      <c r="X77" s="8"/>
      <c r="Y77" s="8"/>
      <c r="Z77" s="12"/>
      <c r="AA77" s="8"/>
      <c r="AB77" s="8"/>
      <c r="AC77" s="8"/>
      <c r="AD77" s="12"/>
      <c r="AE77" s="8"/>
      <c r="AF77" s="8"/>
      <c r="AG77" s="8"/>
      <c r="AH77" s="13"/>
      <c r="AI77" s="10"/>
      <c r="AJ77" s="15"/>
      <c r="AK77" s="15"/>
    </row>
    <row r="78" spans="1:37" ht="30" customHeight="1">
      <c r="A78" s="7"/>
      <c r="B78" s="8"/>
      <c r="C78" s="8"/>
      <c r="D78" s="8"/>
      <c r="E78" s="8"/>
      <c r="F78" s="9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9"/>
      <c r="U78" s="9"/>
      <c r="V78" s="8"/>
      <c r="W78" s="8"/>
      <c r="X78" s="8"/>
      <c r="Y78" s="8"/>
      <c r="Z78" s="12"/>
      <c r="AA78" s="8"/>
      <c r="AB78" s="8"/>
      <c r="AC78" s="8"/>
      <c r="AD78" s="12"/>
      <c r="AE78" s="8"/>
      <c r="AF78" s="8"/>
      <c r="AG78" s="8"/>
      <c r="AH78" s="13"/>
      <c r="AI78" s="10"/>
      <c r="AJ78" s="14"/>
      <c r="AK78" s="15"/>
    </row>
    <row r="79" spans="1:37" ht="30" customHeight="1">
      <c r="A79" s="7"/>
      <c r="B79" s="8"/>
      <c r="C79" s="8"/>
      <c r="D79" s="8"/>
      <c r="E79" s="8"/>
      <c r="F79" s="9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9"/>
      <c r="U79" s="9"/>
      <c r="V79" s="8"/>
      <c r="W79" s="8"/>
      <c r="X79" s="8"/>
      <c r="Y79" s="8"/>
      <c r="Z79" s="12"/>
      <c r="AA79" s="8"/>
      <c r="AB79" s="8"/>
      <c r="AC79" s="8"/>
      <c r="AD79" s="12"/>
      <c r="AE79" s="8"/>
      <c r="AF79" s="8"/>
      <c r="AG79" s="8"/>
      <c r="AH79" s="13"/>
      <c r="AI79" s="10"/>
      <c r="AJ79" s="14"/>
      <c r="AK79" s="15"/>
    </row>
    <row r="80" spans="1:37" ht="30" customHeight="1">
      <c r="A80" s="7"/>
      <c r="B80" s="8"/>
      <c r="C80" s="8"/>
      <c r="D80" s="8"/>
      <c r="E80" s="8"/>
      <c r="F80" s="9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9"/>
      <c r="U80" s="9"/>
      <c r="V80" s="8"/>
      <c r="W80" s="8"/>
      <c r="X80" s="8"/>
      <c r="Y80" s="8"/>
      <c r="Z80" s="12"/>
      <c r="AA80" s="8"/>
      <c r="AB80" s="8"/>
      <c r="AC80" s="8"/>
      <c r="AD80" s="12"/>
      <c r="AE80" s="8"/>
      <c r="AF80" s="8"/>
      <c r="AG80" s="8"/>
      <c r="AH80" s="13"/>
      <c r="AJ80" s="15"/>
      <c r="AK80" s="15"/>
    </row>
    <row r="81" spans="1:37" ht="30" customHeight="1">
      <c r="A81" s="7"/>
      <c r="B81" s="8"/>
      <c r="C81" s="8"/>
      <c r="D81" s="8"/>
      <c r="E81" s="8"/>
      <c r="F81" s="9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9"/>
      <c r="U81" s="9"/>
      <c r="V81" s="8"/>
      <c r="W81" s="8"/>
      <c r="X81" s="8"/>
      <c r="Y81" s="8"/>
      <c r="Z81" s="12"/>
      <c r="AA81" s="8"/>
      <c r="AB81" s="8"/>
      <c r="AC81" s="8"/>
      <c r="AD81" s="12"/>
      <c r="AE81" s="8"/>
      <c r="AF81" s="8"/>
      <c r="AG81" s="8"/>
      <c r="AH81" s="13"/>
      <c r="AJ81" s="15"/>
      <c r="AK81" s="15"/>
    </row>
    <row r="82" spans="1:37" ht="30" customHeight="1">
      <c r="A82" s="7"/>
      <c r="B82" s="8"/>
      <c r="C82" s="8"/>
      <c r="D82" s="8"/>
      <c r="E82" s="8"/>
      <c r="F82" s="9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9"/>
      <c r="U82" s="9"/>
      <c r="V82" s="8"/>
      <c r="W82" s="8"/>
      <c r="X82" s="8"/>
      <c r="Y82" s="8"/>
      <c r="Z82" s="12"/>
      <c r="AA82" s="8"/>
      <c r="AB82" s="8"/>
      <c r="AC82" s="8"/>
      <c r="AD82" s="12"/>
      <c r="AE82" s="8"/>
      <c r="AF82" s="8"/>
      <c r="AG82" s="8"/>
      <c r="AH82" s="13"/>
      <c r="AJ82" s="14"/>
      <c r="AK82" s="15"/>
    </row>
    <row r="83" spans="1:37" ht="30" customHeight="1">
      <c r="A83" s="7"/>
      <c r="B83" s="8"/>
      <c r="C83" s="8"/>
      <c r="D83" s="8"/>
      <c r="E83" s="8"/>
      <c r="F83" s="9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9"/>
      <c r="U83" s="9"/>
      <c r="V83" s="8"/>
      <c r="W83" s="8"/>
      <c r="X83" s="8"/>
      <c r="Y83" s="8"/>
      <c r="Z83" s="12"/>
      <c r="AA83" s="8"/>
      <c r="AB83" s="8"/>
      <c r="AC83" s="8"/>
      <c r="AD83" s="12"/>
      <c r="AE83" s="8"/>
      <c r="AF83" s="8"/>
      <c r="AG83" s="8"/>
      <c r="AH83" s="13"/>
      <c r="AJ83" s="15"/>
      <c r="AK83" s="15"/>
    </row>
    <row r="84" spans="1:37" ht="30" customHeight="1">
      <c r="A84" s="7"/>
      <c r="B84" s="8"/>
      <c r="C84" s="8"/>
      <c r="D84" s="8"/>
      <c r="E84" s="8"/>
      <c r="F84" s="9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9"/>
      <c r="U84" s="9"/>
      <c r="V84" s="8"/>
      <c r="W84" s="8"/>
      <c r="X84" s="8"/>
      <c r="Y84" s="8"/>
      <c r="Z84" s="12"/>
      <c r="AA84" s="8"/>
      <c r="AB84" s="8"/>
      <c r="AC84" s="8"/>
      <c r="AD84" s="12"/>
      <c r="AE84" s="8"/>
      <c r="AF84" s="8"/>
      <c r="AG84" s="8"/>
      <c r="AH84" s="13"/>
      <c r="AJ84" s="15"/>
      <c r="AK84" s="15"/>
    </row>
    <row r="85" spans="1:37" ht="30" customHeight="1">
      <c r="A85" s="7"/>
      <c r="B85" s="8"/>
      <c r="C85" s="8"/>
      <c r="D85" s="8"/>
      <c r="E85" s="8"/>
      <c r="F85" s="9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9"/>
      <c r="U85" s="9"/>
      <c r="V85" s="8"/>
      <c r="W85" s="8"/>
      <c r="X85" s="8"/>
      <c r="Y85" s="8"/>
      <c r="Z85" s="12"/>
      <c r="AA85" s="8"/>
      <c r="AB85" s="8"/>
      <c r="AC85" s="8"/>
      <c r="AD85" s="12"/>
      <c r="AE85" s="8"/>
      <c r="AF85" s="8"/>
      <c r="AG85" s="8"/>
      <c r="AH85" s="13"/>
      <c r="AJ85" s="15"/>
      <c r="AK85" s="15"/>
    </row>
    <row r="86" spans="1:37" ht="30" customHeight="1">
      <c r="A86" s="7"/>
      <c r="B86" s="8"/>
      <c r="C86" s="8"/>
      <c r="D86" s="8"/>
      <c r="E86" s="8"/>
      <c r="F86" s="9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9"/>
      <c r="U86" s="9"/>
      <c r="V86" s="8"/>
      <c r="W86" s="8"/>
      <c r="X86" s="8"/>
      <c r="Y86" s="8"/>
      <c r="Z86" s="12"/>
      <c r="AA86" s="8"/>
      <c r="AB86" s="8"/>
      <c r="AC86" s="8"/>
      <c r="AD86" s="12"/>
      <c r="AE86" s="8"/>
      <c r="AF86" s="8"/>
      <c r="AG86" s="8"/>
      <c r="AH86" s="13"/>
      <c r="AJ86" s="15"/>
      <c r="AK86" s="15"/>
    </row>
    <row r="87" spans="1:37" ht="30" customHeight="1">
      <c r="A87" s="7"/>
      <c r="B87" s="8"/>
      <c r="C87" s="8"/>
      <c r="D87" s="8"/>
      <c r="E87" s="8"/>
      <c r="F87" s="9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9"/>
      <c r="U87" s="9"/>
      <c r="V87" s="8"/>
      <c r="W87" s="8"/>
      <c r="X87" s="8"/>
      <c r="Y87" s="8"/>
      <c r="Z87" s="12"/>
      <c r="AA87" s="8"/>
      <c r="AB87" s="8"/>
      <c r="AC87" s="8"/>
      <c r="AD87" s="12"/>
      <c r="AE87" s="8"/>
      <c r="AF87" s="8"/>
      <c r="AG87" s="8"/>
      <c r="AH87" s="13"/>
      <c r="AJ87" s="15"/>
      <c r="AK87" s="15"/>
    </row>
    <row r="88" spans="1:37" ht="30" customHeight="1">
      <c r="A88" s="7"/>
      <c r="B88" s="8"/>
      <c r="C88" s="8"/>
      <c r="D88" s="8"/>
      <c r="E88" s="8"/>
      <c r="F88" s="9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9"/>
      <c r="U88" s="9"/>
      <c r="V88" s="8"/>
      <c r="W88" s="8"/>
      <c r="X88" s="8"/>
      <c r="Y88" s="8"/>
      <c r="Z88" s="12"/>
      <c r="AA88" s="8"/>
      <c r="AB88" s="8"/>
      <c r="AC88" s="8"/>
      <c r="AD88" s="12"/>
      <c r="AE88" s="8"/>
      <c r="AF88" s="8"/>
      <c r="AG88" s="8"/>
      <c r="AH88" s="13"/>
      <c r="AJ88" s="14"/>
      <c r="AK88" s="15"/>
    </row>
    <row r="89" spans="1:37" ht="30" customHeight="1">
      <c r="A89" s="7"/>
      <c r="B89" s="8"/>
      <c r="C89" s="8"/>
      <c r="D89" s="8"/>
      <c r="E89" s="8"/>
      <c r="F89" s="9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9"/>
      <c r="U89" s="9"/>
      <c r="V89" s="8"/>
      <c r="W89" s="8"/>
      <c r="X89" s="8"/>
      <c r="Y89" s="8"/>
      <c r="Z89" s="12"/>
      <c r="AA89" s="8"/>
      <c r="AB89" s="8"/>
      <c r="AC89" s="8"/>
      <c r="AD89" s="12"/>
      <c r="AE89" s="8"/>
      <c r="AF89" s="8"/>
      <c r="AG89" s="8"/>
      <c r="AH89" s="13"/>
      <c r="AJ89" s="14"/>
      <c r="AK89" s="15"/>
    </row>
    <row r="90" spans="1:37" ht="30" customHeight="1">
      <c r="A90" s="7"/>
      <c r="B90" s="8"/>
      <c r="C90" s="8"/>
      <c r="D90" s="8"/>
      <c r="E90" s="8"/>
      <c r="F90" s="9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9"/>
      <c r="U90" s="9"/>
      <c r="V90" s="8"/>
      <c r="W90" s="8"/>
      <c r="X90" s="8"/>
      <c r="Y90" s="8"/>
      <c r="Z90" s="12"/>
      <c r="AA90" s="8"/>
      <c r="AB90" s="8"/>
      <c r="AC90" s="8"/>
      <c r="AD90" s="12"/>
      <c r="AE90" s="8"/>
      <c r="AF90" s="8"/>
      <c r="AG90" s="8"/>
      <c r="AH90" s="13"/>
      <c r="AJ90" s="14"/>
      <c r="AK90" s="15"/>
    </row>
    <row r="91" spans="1:37" ht="30" customHeight="1">
      <c r="A91" s="7"/>
      <c r="B91" s="8"/>
      <c r="C91" s="8"/>
      <c r="D91" s="8"/>
      <c r="E91" s="8"/>
      <c r="F91" s="9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9"/>
      <c r="U91" s="9"/>
      <c r="V91" s="8"/>
      <c r="W91" s="8"/>
      <c r="X91" s="8"/>
      <c r="Y91" s="8"/>
      <c r="Z91" s="12"/>
      <c r="AA91" s="8"/>
      <c r="AB91" s="8"/>
      <c r="AC91" s="8"/>
      <c r="AD91" s="12"/>
      <c r="AE91" s="8"/>
      <c r="AF91" s="8"/>
      <c r="AG91" s="8"/>
      <c r="AH91" s="13"/>
      <c r="AJ91" s="15"/>
      <c r="AK91" s="15"/>
    </row>
    <row r="92" spans="1:37" ht="30" customHeight="1">
      <c r="A92" s="7"/>
      <c r="B92" s="8"/>
      <c r="C92" s="8"/>
      <c r="D92" s="8"/>
      <c r="E92" s="8"/>
      <c r="F92" s="9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9"/>
      <c r="U92" s="9"/>
      <c r="V92" s="8"/>
      <c r="W92" s="8"/>
      <c r="X92" s="8"/>
      <c r="Y92" s="8"/>
      <c r="Z92" s="12"/>
      <c r="AA92" s="8"/>
      <c r="AB92" s="8"/>
      <c r="AC92" s="8"/>
      <c r="AD92" s="12"/>
      <c r="AE92" s="8"/>
      <c r="AF92" s="8"/>
      <c r="AG92" s="8"/>
      <c r="AH92" s="13"/>
      <c r="AJ92" s="14"/>
      <c r="AK92" s="15"/>
    </row>
    <row r="93" spans="1:37" ht="30" customHeight="1">
      <c r="A93" s="7"/>
      <c r="B93" s="8"/>
      <c r="C93" s="8"/>
      <c r="D93" s="8"/>
      <c r="E93" s="8"/>
      <c r="F93" s="9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9"/>
      <c r="U93" s="9"/>
      <c r="V93" s="8"/>
      <c r="W93" s="8"/>
      <c r="X93" s="8"/>
      <c r="Y93" s="8"/>
      <c r="Z93" s="12"/>
      <c r="AA93" s="8"/>
      <c r="AB93" s="8"/>
      <c r="AC93" s="8"/>
      <c r="AD93" s="12"/>
      <c r="AE93" s="8"/>
      <c r="AF93" s="8"/>
      <c r="AG93" s="8"/>
      <c r="AH93" s="13"/>
      <c r="AJ93" s="14"/>
      <c r="AK93" s="15"/>
    </row>
    <row r="94" spans="1:37" ht="30" customHeight="1">
      <c r="A94" s="7"/>
      <c r="B94" s="8"/>
      <c r="C94" s="8"/>
      <c r="D94" s="8"/>
      <c r="E94" s="8"/>
      <c r="F94" s="9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9"/>
      <c r="U94" s="9"/>
      <c r="V94" s="8"/>
      <c r="W94" s="8"/>
      <c r="X94" s="8"/>
      <c r="Y94" s="8"/>
      <c r="Z94" s="12"/>
      <c r="AA94" s="8"/>
      <c r="AB94" s="8"/>
      <c r="AC94" s="8"/>
      <c r="AD94" s="12"/>
      <c r="AE94" s="8"/>
      <c r="AF94" s="8"/>
      <c r="AG94" s="8"/>
      <c r="AH94" s="13"/>
      <c r="AJ94" s="15"/>
      <c r="AK94" s="15"/>
    </row>
    <row r="95" spans="1:37" ht="30" customHeight="1">
      <c r="A95" s="7"/>
      <c r="B95" s="8"/>
      <c r="C95" s="8"/>
      <c r="D95" s="8"/>
      <c r="E95" s="8"/>
      <c r="F95" s="9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9"/>
      <c r="U95" s="9"/>
      <c r="V95" s="8"/>
      <c r="W95" s="8"/>
      <c r="X95" s="8"/>
      <c r="Y95" s="8"/>
      <c r="Z95" s="12"/>
      <c r="AA95" s="8"/>
      <c r="AB95" s="8"/>
      <c r="AC95" s="8"/>
      <c r="AD95" s="12"/>
      <c r="AE95" s="8"/>
      <c r="AF95" s="8"/>
      <c r="AG95" s="8"/>
      <c r="AH95" s="13"/>
      <c r="AJ95" s="15"/>
      <c r="AK95" s="15"/>
    </row>
    <row r="96" spans="1:37" ht="30" customHeight="1">
      <c r="A96" s="7"/>
      <c r="B96" s="8"/>
      <c r="C96" s="8"/>
      <c r="D96" s="8"/>
      <c r="E96" s="8"/>
      <c r="F96" s="9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9"/>
      <c r="U96" s="9"/>
      <c r="V96" s="8"/>
      <c r="W96" s="8"/>
      <c r="X96" s="8"/>
      <c r="Y96" s="8"/>
      <c r="Z96" s="12"/>
      <c r="AA96" s="8"/>
      <c r="AB96" s="8"/>
      <c r="AC96" s="8"/>
      <c r="AD96" s="12"/>
      <c r="AE96" s="8"/>
      <c r="AF96" s="8"/>
      <c r="AG96" s="8"/>
      <c r="AH96" s="13"/>
      <c r="AJ96" s="14"/>
      <c r="AK96" s="15"/>
    </row>
    <row r="97" spans="1:37" ht="30" customHeight="1">
      <c r="A97" s="7"/>
      <c r="B97" s="8"/>
      <c r="C97" s="8"/>
      <c r="D97" s="8"/>
      <c r="E97" s="8"/>
      <c r="F97" s="9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9"/>
      <c r="U97" s="9"/>
      <c r="V97" s="8"/>
      <c r="W97" s="8"/>
      <c r="X97" s="8"/>
      <c r="Y97" s="8"/>
      <c r="Z97" s="12"/>
      <c r="AA97" s="8"/>
      <c r="AB97" s="8"/>
      <c r="AC97" s="8"/>
      <c r="AD97" s="12"/>
      <c r="AE97" s="8"/>
      <c r="AF97" s="8"/>
      <c r="AG97" s="8"/>
      <c r="AH97" s="13"/>
      <c r="AJ97" s="14"/>
      <c r="AK97" s="15"/>
    </row>
    <row r="98" spans="1:37" ht="30" customHeight="1">
      <c r="A98" s="7"/>
      <c r="B98" s="8"/>
      <c r="C98" s="8"/>
      <c r="D98" s="8"/>
      <c r="E98" s="8"/>
      <c r="F98" s="9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9"/>
      <c r="U98" s="9"/>
      <c r="V98" s="8"/>
      <c r="W98" s="8"/>
      <c r="X98" s="8"/>
      <c r="Y98" s="8"/>
      <c r="Z98" s="12"/>
      <c r="AA98" s="8"/>
      <c r="AB98" s="8"/>
      <c r="AC98" s="8"/>
      <c r="AD98" s="12"/>
      <c r="AE98" s="8"/>
      <c r="AF98" s="8"/>
      <c r="AG98" s="8"/>
      <c r="AH98" s="13"/>
      <c r="AJ98" s="15"/>
      <c r="AK98" s="15"/>
    </row>
    <row r="99" spans="1:37" ht="30" customHeight="1">
      <c r="A99" s="7"/>
      <c r="B99" s="8"/>
      <c r="C99" s="8"/>
      <c r="D99" s="8"/>
      <c r="E99" s="8"/>
      <c r="F99" s="9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9"/>
      <c r="U99" s="9"/>
      <c r="V99" s="8"/>
      <c r="W99" s="8"/>
      <c r="X99" s="8"/>
      <c r="Y99" s="8"/>
      <c r="Z99" s="12"/>
      <c r="AA99" s="8"/>
      <c r="AB99" s="8"/>
      <c r="AC99" s="8"/>
      <c r="AD99" s="12"/>
      <c r="AE99" s="8"/>
      <c r="AF99" s="8"/>
      <c r="AG99" s="8"/>
      <c r="AH99" s="13"/>
      <c r="AJ99" s="15"/>
      <c r="AK99" s="15"/>
    </row>
    <row r="100" spans="1:37" ht="30" customHeight="1">
      <c r="A100" s="7"/>
      <c r="B100" s="8"/>
      <c r="C100" s="8"/>
      <c r="D100" s="8"/>
      <c r="E100" s="8"/>
      <c r="F100" s="9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9"/>
      <c r="U100" s="9"/>
      <c r="V100" s="8"/>
      <c r="W100" s="8"/>
      <c r="X100" s="8"/>
      <c r="Y100" s="8"/>
      <c r="Z100" s="12"/>
      <c r="AA100" s="8"/>
      <c r="AB100" s="8"/>
      <c r="AC100" s="8"/>
      <c r="AD100" s="12"/>
      <c r="AE100" s="8"/>
      <c r="AF100" s="8"/>
      <c r="AG100" s="8"/>
      <c r="AH100" s="13"/>
      <c r="AJ100" s="15"/>
      <c r="AK100" s="15"/>
    </row>
    <row r="101" spans="1:37" ht="30" customHeight="1">
      <c r="A101" s="7"/>
      <c r="B101" s="8"/>
      <c r="C101" s="8"/>
      <c r="D101" s="8"/>
      <c r="E101" s="8"/>
      <c r="F101" s="9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9"/>
      <c r="U101" s="9"/>
      <c r="V101" s="8"/>
      <c r="W101" s="8"/>
      <c r="X101" s="8"/>
      <c r="Y101" s="8"/>
      <c r="Z101" s="12"/>
      <c r="AA101" s="8"/>
      <c r="AB101" s="8"/>
      <c r="AC101" s="8"/>
      <c r="AD101" s="12"/>
      <c r="AE101" s="8"/>
      <c r="AF101" s="8"/>
      <c r="AG101" s="8"/>
      <c r="AH101" s="13"/>
      <c r="AJ101" s="14"/>
      <c r="AK101" s="15"/>
    </row>
    <row r="102" spans="1:37" ht="30" customHeight="1">
      <c r="A102" s="7"/>
      <c r="B102" s="8"/>
      <c r="C102" s="8"/>
      <c r="D102" s="8"/>
      <c r="E102" s="8"/>
      <c r="F102" s="9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9"/>
      <c r="U102" s="9"/>
      <c r="V102" s="8"/>
      <c r="W102" s="8"/>
      <c r="X102" s="8"/>
      <c r="Y102" s="8"/>
      <c r="Z102" s="12"/>
      <c r="AA102" s="8"/>
      <c r="AB102" s="8"/>
      <c r="AC102" s="8"/>
      <c r="AD102" s="12"/>
      <c r="AE102" s="8"/>
      <c r="AF102" s="8"/>
      <c r="AG102" s="8"/>
      <c r="AH102" s="13"/>
      <c r="AJ102" s="14"/>
      <c r="AK102" s="15"/>
    </row>
    <row r="103" spans="1:37" ht="30" customHeight="1">
      <c r="A103" s="7"/>
      <c r="B103" s="8"/>
      <c r="C103" s="8"/>
      <c r="D103" s="8"/>
      <c r="E103" s="8"/>
      <c r="F103" s="9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9"/>
      <c r="U103" s="9"/>
      <c r="V103" s="8"/>
      <c r="W103" s="8"/>
      <c r="X103" s="8"/>
      <c r="Y103" s="8"/>
      <c r="Z103" s="12"/>
      <c r="AA103" s="8"/>
      <c r="AB103" s="8"/>
      <c r="AC103" s="8"/>
      <c r="AD103" s="12"/>
      <c r="AE103" s="8"/>
      <c r="AF103" s="8"/>
      <c r="AG103" s="8"/>
      <c r="AH103" s="13"/>
      <c r="AJ103" s="14"/>
      <c r="AK103" s="15"/>
    </row>
    <row r="104" spans="1:37" ht="30" customHeight="1">
      <c r="A104" s="7"/>
      <c r="B104" s="8"/>
      <c r="C104" s="8"/>
      <c r="D104" s="8"/>
      <c r="E104" s="8"/>
      <c r="F104" s="9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9"/>
      <c r="U104" s="9"/>
      <c r="V104" s="8"/>
      <c r="W104" s="8"/>
      <c r="X104" s="8"/>
      <c r="Y104" s="8"/>
      <c r="Z104" s="12"/>
      <c r="AA104" s="8"/>
      <c r="AB104" s="8"/>
      <c r="AC104" s="8"/>
      <c r="AD104" s="12"/>
      <c r="AE104" s="8"/>
      <c r="AF104" s="8"/>
      <c r="AG104" s="8"/>
      <c r="AH104" s="13"/>
      <c r="AJ104" s="14"/>
      <c r="AK104" s="15"/>
    </row>
    <row r="105" spans="1:37" ht="30" customHeight="1">
      <c r="A105" s="7"/>
      <c r="B105" s="8"/>
      <c r="C105" s="8"/>
      <c r="D105" s="8"/>
      <c r="E105" s="8"/>
      <c r="F105" s="9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9"/>
      <c r="U105" s="9"/>
      <c r="V105" s="8"/>
      <c r="W105" s="8"/>
      <c r="X105" s="8"/>
      <c r="Y105" s="8"/>
      <c r="Z105" s="12"/>
      <c r="AA105" s="8"/>
      <c r="AB105" s="8"/>
      <c r="AC105" s="8"/>
      <c r="AD105" s="12"/>
      <c r="AE105" s="8"/>
      <c r="AF105" s="8"/>
      <c r="AG105" s="8"/>
      <c r="AH105" s="13"/>
      <c r="AJ105" s="14"/>
      <c r="AK105" s="15"/>
    </row>
    <row r="106" spans="1:37" ht="30" customHeight="1">
      <c r="A106" s="7"/>
      <c r="B106" s="8"/>
      <c r="C106" s="8"/>
      <c r="D106" s="8"/>
      <c r="E106" s="8"/>
      <c r="F106" s="9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9"/>
      <c r="U106" s="9"/>
      <c r="V106" s="8"/>
      <c r="W106" s="8"/>
      <c r="X106" s="8"/>
      <c r="Y106" s="8"/>
      <c r="Z106" s="12"/>
      <c r="AA106" s="8"/>
      <c r="AB106" s="8"/>
      <c r="AC106" s="8"/>
      <c r="AD106" s="12"/>
      <c r="AE106" s="8"/>
      <c r="AF106" s="8"/>
      <c r="AG106" s="8"/>
      <c r="AH106" s="13"/>
      <c r="AJ106" s="14"/>
      <c r="AK106" s="15"/>
    </row>
    <row r="107" spans="1:37" ht="30" customHeight="1">
      <c r="A107" s="7"/>
      <c r="B107" s="8"/>
      <c r="C107" s="8"/>
      <c r="D107" s="8"/>
      <c r="E107" s="8"/>
      <c r="F107" s="9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9"/>
      <c r="U107" s="9"/>
      <c r="V107" s="8"/>
      <c r="W107" s="8"/>
      <c r="X107" s="8"/>
      <c r="Y107" s="8"/>
      <c r="Z107" s="12"/>
      <c r="AA107" s="8"/>
      <c r="AB107" s="8"/>
      <c r="AC107" s="8"/>
      <c r="AD107" s="12"/>
      <c r="AE107" s="8"/>
      <c r="AF107" s="8"/>
      <c r="AG107" s="8"/>
      <c r="AH107" s="13"/>
      <c r="AJ107" s="15"/>
      <c r="AK107" s="15"/>
    </row>
    <row r="108" spans="1:37" ht="30" customHeight="1">
      <c r="A108" s="7"/>
      <c r="B108" s="8"/>
      <c r="C108" s="8"/>
      <c r="D108" s="8"/>
      <c r="E108" s="8"/>
      <c r="F108" s="9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9"/>
      <c r="U108" s="9"/>
      <c r="V108" s="8"/>
      <c r="W108" s="8"/>
      <c r="X108" s="8"/>
      <c r="Y108" s="8"/>
      <c r="Z108" s="12"/>
      <c r="AA108" s="8"/>
      <c r="AB108" s="8"/>
      <c r="AC108" s="8"/>
      <c r="AD108" s="12"/>
      <c r="AE108" s="8"/>
      <c r="AF108" s="8"/>
      <c r="AG108" s="8"/>
      <c r="AH108" s="13"/>
      <c r="AJ108" s="14"/>
      <c r="AK108" s="15"/>
    </row>
    <row r="109" spans="1:37" ht="30" customHeight="1">
      <c r="A109" s="7"/>
      <c r="B109" s="8"/>
      <c r="C109" s="8"/>
      <c r="D109" s="8"/>
      <c r="E109" s="8"/>
      <c r="F109" s="9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9"/>
      <c r="U109" s="9"/>
      <c r="V109" s="8"/>
      <c r="W109" s="8"/>
      <c r="X109" s="8"/>
      <c r="Y109" s="8"/>
      <c r="Z109" s="12"/>
      <c r="AA109" s="8"/>
      <c r="AB109" s="8"/>
      <c r="AC109" s="8"/>
      <c r="AD109" s="12"/>
      <c r="AE109" s="8"/>
      <c r="AF109" s="8"/>
      <c r="AG109" s="8"/>
      <c r="AH109" s="13"/>
      <c r="AI109" s="10"/>
      <c r="AJ109" s="15"/>
      <c r="AK109" s="15"/>
    </row>
    <row r="110" spans="1:37" ht="30" customHeight="1">
      <c r="A110" s="7"/>
      <c r="B110" s="8"/>
      <c r="C110" s="8"/>
      <c r="D110" s="8"/>
      <c r="E110" s="8"/>
      <c r="F110" s="9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9"/>
      <c r="U110" s="9"/>
      <c r="V110" s="8"/>
      <c r="W110" s="8"/>
      <c r="X110" s="8"/>
      <c r="Y110" s="8"/>
      <c r="Z110" s="12"/>
      <c r="AA110" s="8"/>
      <c r="AB110" s="8"/>
      <c r="AC110" s="8"/>
      <c r="AD110" s="12"/>
      <c r="AE110" s="8"/>
      <c r="AF110" s="8"/>
      <c r="AG110" s="8"/>
      <c r="AH110" s="13"/>
      <c r="AI110" s="10"/>
      <c r="AJ110" s="14"/>
      <c r="AK110" s="15"/>
    </row>
    <row r="111" spans="1:37" ht="30" customHeight="1">
      <c r="A111" s="7"/>
      <c r="B111" s="8"/>
      <c r="C111" s="8"/>
      <c r="D111" s="8"/>
      <c r="E111" s="8"/>
      <c r="F111" s="9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9"/>
      <c r="U111" s="9"/>
      <c r="V111" s="8"/>
      <c r="W111" s="8"/>
      <c r="X111" s="8"/>
      <c r="Y111" s="8"/>
      <c r="Z111" s="12"/>
      <c r="AA111" s="8"/>
      <c r="AB111" s="8"/>
      <c r="AC111" s="8"/>
      <c r="AD111" s="12"/>
      <c r="AE111" s="8"/>
      <c r="AF111" s="8"/>
      <c r="AG111" s="8"/>
      <c r="AH111" s="13"/>
      <c r="AI111" s="10"/>
      <c r="AJ111" s="15"/>
      <c r="AK111" s="15"/>
    </row>
    <row r="112" spans="1:37" ht="30" customHeight="1">
      <c r="A112" s="7"/>
      <c r="B112" s="8"/>
      <c r="C112" s="8"/>
      <c r="D112" s="8"/>
      <c r="E112" s="8"/>
      <c r="F112" s="9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9"/>
      <c r="U112" s="9"/>
      <c r="V112" s="8"/>
      <c r="W112" s="8"/>
      <c r="X112" s="8"/>
      <c r="Y112" s="8"/>
      <c r="Z112" s="12"/>
      <c r="AA112" s="8"/>
      <c r="AB112" s="8"/>
      <c r="AC112" s="8"/>
      <c r="AD112" s="12"/>
      <c r="AE112" s="8"/>
      <c r="AF112" s="8"/>
      <c r="AG112" s="8"/>
      <c r="AH112" s="13"/>
      <c r="AI112" s="8"/>
      <c r="AJ112" s="14"/>
      <c r="AK112" s="15"/>
    </row>
    <row r="113" spans="1:37" ht="30" customHeight="1">
      <c r="A113" s="7"/>
      <c r="B113" s="8"/>
      <c r="C113" s="8"/>
      <c r="D113" s="8"/>
      <c r="E113" s="8"/>
      <c r="F113" s="9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9"/>
      <c r="U113" s="9"/>
      <c r="V113" s="8"/>
      <c r="W113" s="8"/>
      <c r="X113" s="8"/>
      <c r="Y113" s="8"/>
      <c r="Z113" s="12"/>
      <c r="AA113" s="8"/>
      <c r="AB113" s="8"/>
      <c r="AC113" s="8"/>
      <c r="AD113" s="12"/>
      <c r="AE113" s="8"/>
      <c r="AF113" s="8"/>
      <c r="AG113" s="8"/>
      <c r="AH113" s="13"/>
      <c r="AJ113" s="14"/>
      <c r="AK113" s="15"/>
    </row>
    <row r="114" spans="1:37" ht="30" customHeight="1">
      <c r="A114" s="7"/>
      <c r="B114" s="8"/>
      <c r="C114" s="8"/>
      <c r="D114" s="8"/>
      <c r="E114" s="8"/>
      <c r="F114" s="9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9"/>
      <c r="U114" s="9"/>
      <c r="V114" s="8"/>
      <c r="W114" s="8"/>
      <c r="X114" s="8"/>
      <c r="Y114" s="8"/>
      <c r="Z114" s="12"/>
      <c r="AA114" s="8"/>
      <c r="AB114" s="8"/>
      <c r="AC114" s="8"/>
      <c r="AD114" s="12"/>
      <c r="AE114" s="8"/>
      <c r="AF114" s="8"/>
      <c r="AG114" s="8"/>
      <c r="AH114" s="13"/>
      <c r="AJ114" s="14"/>
      <c r="AK114" s="15"/>
    </row>
    <row r="115" spans="1:37" ht="30" customHeight="1">
      <c r="A115" s="7"/>
      <c r="B115" s="8"/>
      <c r="C115" s="8"/>
      <c r="D115" s="8"/>
      <c r="E115" s="8"/>
      <c r="F115" s="9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9"/>
      <c r="U115" s="9"/>
      <c r="V115" s="8"/>
      <c r="W115" s="8"/>
      <c r="X115" s="8"/>
      <c r="Y115" s="8"/>
      <c r="Z115" s="12"/>
      <c r="AA115" s="8"/>
      <c r="AB115" s="8"/>
      <c r="AC115" s="8"/>
      <c r="AD115" s="12"/>
      <c r="AE115" s="8"/>
      <c r="AF115" s="8"/>
      <c r="AG115" s="8"/>
      <c r="AH115" s="13"/>
      <c r="AJ115" s="15"/>
      <c r="AK115" s="15"/>
    </row>
    <row r="116" spans="1:37" ht="30" customHeight="1">
      <c r="A116" s="7"/>
      <c r="B116" s="8"/>
      <c r="C116" s="8"/>
      <c r="D116" s="8"/>
      <c r="E116" s="8"/>
      <c r="F116" s="9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9"/>
      <c r="U116" s="9"/>
      <c r="V116" s="8"/>
      <c r="W116" s="8"/>
      <c r="X116" s="8"/>
      <c r="Y116" s="8"/>
      <c r="Z116" s="12"/>
      <c r="AA116" s="8"/>
      <c r="AB116" s="8"/>
      <c r="AC116" s="8"/>
      <c r="AD116" s="12"/>
      <c r="AE116" s="8"/>
      <c r="AF116" s="8"/>
      <c r="AG116" s="8"/>
      <c r="AH116" s="13"/>
      <c r="AJ116" s="14"/>
      <c r="AK116" s="15"/>
    </row>
    <row r="117" spans="1:37" ht="30" customHeight="1">
      <c r="A117" s="7"/>
      <c r="B117" s="8"/>
      <c r="C117" s="8"/>
      <c r="D117" s="8"/>
      <c r="E117" s="8"/>
      <c r="F117" s="9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9"/>
      <c r="U117" s="9"/>
      <c r="V117" s="8"/>
      <c r="W117" s="8"/>
      <c r="X117" s="8"/>
      <c r="Y117" s="8"/>
      <c r="Z117" s="12"/>
      <c r="AA117" s="8"/>
      <c r="AB117" s="8"/>
      <c r="AC117" s="8"/>
      <c r="AD117" s="12"/>
      <c r="AE117" s="8"/>
      <c r="AF117" s="8"/>
      <c r="AG117" s="8"/>
      <c r="AH117" s="13"/>
      <c r="AJ117" s="14"/>
      <c r="AK117" s="15"/>
    </row>
    <row r="118" spans="1:37" ht="30" customHeight="1">
      <c r="A118" s="7"/>
      <c r="B118" s="8"/>
      <c r="C118" s="8"/>
      <c r="D118" s="8"/>
      <c r="E118" s="8"/>
      <c r="F118" s="9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9"/>
      <c r="U118" s="9"/>
      <c r="V118" s="8"/>
      <c r="W118" s="8"/>
      <c r="X118" s="8"/>
      <c r="Y118" s="8"/>
      <c r="Z118" s="12"/>
      <c r="AA118" s="8"/>
      <c r="AB118" s="8"/>
      <c r="AC118" s="8"/>
      <c r="AD118" s="12"/>
      <c r="AE118" s="8"/>
      <c r="AF118" s="8"/>
      <c r="AG118" s="8"/>
      <c r="AH118" s="13"/>
      <c r="AJ118" s="15"/>
      <c r="AK118" s="15"/>
    </row>
    <row r="119" spans="1:37" ht="30" customHeight="1">
      <c r="A119" s="7"/>
      <c r="B119" s="8"/>
      <c r="C119" s="8"/>
      <c r="D119" s="8"/>
      <c r="E119" s="8"/>
      <c r="F119" s="9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9"/>
      <c r="U119" s="9"/>
      <c r="V119" s="8"/>
      <c r="W119" s="8"/>
      <c r="X119" s="8"/>
      <c r="Y119" s="8"/>
      <c r="Z119" s="12"/>
      <c r="AA119" s="8"/>
      <c r="AB119" s="8"/>
      <c r="AC119" s="8"/>
      <c r="AD119" s="12"/>
      <c r="AE119" s="8"/>
      <c r="AF119" s="8"/>
      <c r="AG119" s="8"/>
      <c r="AH119" s="13"/>
      <c r="AJ119" s="14"/>
      <c r="AK119" s="15"/>
    </row>
    <row r="120" spans="1:37" ht="30" customHeight="1">
      <c r="A120" s="7"/>
      <c r="B120" s="8"/>
      <c r="C120" s="8"/>
      <c r="D120" s="8"/>
      <c r="E120" s="8"/>
      <c r="F120" s="9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9"/>
      <c r="U120" s="9"/>
      <c r="V120" s="8"/>
      <c r="W120" s="8"/>
      <c r="X120" s="8"/>
      <c r="Y120" s="8"/>
      <c r="Z120" s="12"/>
      <c r="AA120" s="8"/>
      <c r="AB120" s="8"/>
      <c r="AC120" s="8"/>
      <c r="AD120" s="12"/>
      <c r="AE120" s="8"/>
      <c r="AF120" s="8"/>
      <c r="AG120" s="8"/>
      <c r="AH120" s="13"/>
      <c r="AJ120" s="15"/>
      <c r="AK120" s="15"/>
    </row>
    <row r="121" spans="1:37" ht="30" customHeight="1">
      <c r="A121" s="7"/>
      <c r="B121" s="8"/>
      <c r="C121" s="8"/>
      <c r="D121" s="8"/>
      <c r="E121" s="8"/>
      <c r="F121" s="9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9"/>
      <c r="U121" s="9"/>
      <c r="V121" s="8"/>
      <c r="W121" s="8"/>
      <c r="X121" s="8"/>
      <c r="Y121" s="8"/>
      <c r="Z121" s="12"/>
      <c r="AA121" s="8"/>
      <c r="AB121" s="8"/>
      <c r="AC121" s="8"/>
      <c r="AD121" s="12"/>
      <c r="AE121" s="8"/>
      <c r="AF121" s="8"/>
      <c r="AG121" s="8"/>
      <c r="AH121" s="13"/>
      <c r="AI121" s="20"/>
      <c r="AJ121" s="15"/>
      <c r="AK121" s="15"/>
    </row>
    <row r="122" spans="1:37" ht="30" customHeight="1">
      <c r="A122" s="7"/>
      <c r="B122" s="8"/>
      <c r="C122" s="8"/>
      <c r="D122" s="8"/>
      <c r="E122" s="8"/>
      <c r="F122" s="9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9"/>
      <c r="U122" s="9"/>
      <c r="V122" s="8"/>
      <c r="W122" s="8"/>
      <c r="X122" s="8"/>
      <c r="Y122" s="8"/>
      <c r="Z122" s="12"/>
      <c r="AA122" s="8"/>
      <c r="AB122" s="8"/>
      <c r="AC122" s="8"/>
      <c r="AD122" s="12"/>
      <c r="AE122" s="8"/>
      <c r="AF122" s="8"/>
      <c r="AG122" s="8"/>
      <c r="AH122" s="13"/>
      <c r="AJ122" s="14"/>
      <c r="AK122" s="15"/>
    </row>
    <row r="123" spans="1:37" ht="30" customHeight="1">
      <c r="A123" s="7"/>
      <c r="B123" s="8"/>
      <c r="C123" s="8"/>
      <c r="D123" s="8"/>
      <c r="E123" s="8"/>
      <c r="F123" s="9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9"/>
      <c r="U123" s="9"/>
      <c r="V123" s="8"/>
      <c r="W123" s="8"/>
      <c r="X123" s="8"/>
      <c r="Y123" s="8"/>
      <c r="Z123" s="12"/>
      <c r="AA123" s="8"/>
      <c r="AB123" s="8"/>
      <c r="AC123" s="8"/>
      <c r="AD123" s="12"/>
      <c r="AE123" s="8"/>
      <c r="AF123" s="8"/>
      <c r="AG123" s="8"/>
      <c r="AH123" s="13"/>
      <c r="AI123" s="20"/>
      <c r="AJ123" s="14"/>
      <c r="AK123" s="15"/>
    </row>
    <row r="124" spans="1:37" ht="30" customHeight="1">
      <c r="A124" s="7"/>
      <c r="B124" s="8"/>
      <c r="C124" s="8"/>
      <c r="D124" s="8"/>
      <c r="E124" s="8"/>
      <c r="F124" s="9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9"/>
      <c r="U124" s="9"/>
      <c r="V124" s="8"/>
      <c r="W124" s="8"/>
      <c r="X124" s="8"/>
      <c r="Y124" s="8"/>
      <c r="Z124" s="12"/>
      <c r="AA124" s="8"/>
      <c r="AB124" s="8"/>
      <c r="AC124" s="8"/>
      <c r="AD124" s="12"/>
      <c r="AE124" s="8"/>
      <c r="AF124" s="8"/>
      <c r="AG124" s="8"/>
      <c r="AH124" s="13"/>
      <c r="AJ124" s="14"/>
      <c r="AK124" s="15"/>
    </row>
    <row r="125" spans="1:37" ht="30" customHeight="1">
      <c r="A125" s="7"/>
      <c r="B125" s="8"/>
      <c r="C125" s="8"/>
      <c r="D125" s="8"/>
      <c r="E125" s="8"/>
      <c r="F125" s="9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9"/>
      <c r="U125" s="9"/>
      <c r="V125" s="8"/>
      <c r="W125" s="8"/>
      <c r="X125" s="8"/>
      <c r="Y125" s="8"/>
      <c r="Z125" s="12"/>
      <c r="AA125" s="8"/>
      <c r="AB125" s="8"/>
      <c r="AC125" s="8"/>
      <c r="AD125" s="12"/>
      <c r="AE125" s="8"/>
      <c r="AF125" s="8"/>
      <c r="AG125" s="8"/>
      <c r="AH125" s="13"/>
      <c r="AJ125" s="14"/>
      <c r="AK125" s="15"/>
    </row>
    <row r="126" spans="1:37" ht="30" customHeight="1">
      <c r="A126" s="7"/>
      <c r="B126" s="8"/>
      <c r="C126" s="8"/>
      <c r="D126" s="8"/>
      <c r="E126" s="8"/>
      <c r="F126" s="9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9"/>
      <c r="U126" s="9"/>
      <c r="V126" s="8"/>
      <c r="W126" s="8"/>
      <c r="X126" s="8"/>
      <c r="Y126" s="8"/>
      <c r="Z126" s="12"/>
      <c r="AA126" s="8"/>
      <c r="AB126" s="8"/>
      <c r="AC126" s="8"/>
      <c r="AD126" s="12"/>
      <c r="AE126" s="8"/>
      <c r="AF126" s="8"/>
      <c r="AG126" s="8"/>
      <c r="AH126" s="13"/>
      <c r="AJ126" s="15"/>
      <c r="AK126" s="15"/>
    </row>
    <row r="127" spans="1:37" ht="30" customHeight="1">
      <c r="A127" s="7"/>
      <c r="B127" s="8"/>
      <c r="C127" s="8"/>
      <c r="D127" s="8"/>
      <c r="E127" s="8"/>
      <c r="F127" s="9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9"/>
      <c r="U127" s="9"/>
      <c r="V127" s="8"/>
      <c r="W127" s="8"/>
      <c r="X127" s="8"/>
      <c r="Y127" s="8"/>
      <c r="Z127" s="12"/>
      <c r="AA127" s="8"/>
      <c r="AB127" s="8"/>
      <c r="AC127" s="8"/>
      <c r="AD127" s="12"/>
      <c r="AE127" s="8"/>
      <c r="AF127" s="8"/>
      <c r="AG127" s="8"/>
      <c r="AH127" s="13"/>
      <c r="AJ127" s="14"/>
      <c r="AK127" s="15"/>
    </row>
    <row r="128" spans="1:37" ht="30" customHeight="1">
      <c r="A128" s="7"/>
      <c r="B128" s="8"/>
      <c r="C128" s="8"/>
      <c r="D128" s="8"/>
      <c r="E128" s="8"/>
      <c r="F128" s="9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9"/>
      <c r="U128" s="9"/>
      <c r="V128" s="8"/>
      <c r="W128" s="8"/>
      <c r="X128" s="8"/>
      <c r="Y128" s="8"/>
      <c r="Z128" s="12"/>
      <c r="AA128" s="8"/>
      <c r="AB128" s="8"/>
      <c r="AC128" s="8"/>
      <c r="AD128" s="12"/>
      <c r="AE128" s="8"/>
      <c r="AF128" s="8"/>
      <c r="AG128" s="8"/>
      <c r="AH128" s="13"/>
      <c r="AI128" s="20"/>
      <c r="AJ128" s="14"/>
      <c r="AK128" s="15"/>
    </row>
    <row r="129" spans="1:37" ht="30" customHeight="1">
      <c r="A129" s="7"/>
      <c r="B129" s="8"/>
      <c r="C129" s="8"/>
      <c r="D129" s="8"/>
      <c r="E129" s="8"/>
      <c r="F129" s="9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9"/>
      <c r="U129" s="9"/>
      <c r="V129" s="8"/>
      <c r="W129" s="8"/>
      <c r="X129" s="8"/>
      <c r="Y129" s="8"/>
      <c r="Z129" s="12"/>
      <c r="AA129" s="8"/>
      <c r="AB129" s="8"/>
      <c r="AC129" s="8"/>
      <c r="AD129" s="12"/>
      <c r="AE129" s="8"/>
      <c r="AF129" s="8"/>
      <c r="AG129" s="8"/>
      <c r="AH129" s="13"/>
      <c r="AI129" s="20"/>
      <c r="AJ129" s="14"/>
      <c r="AK129" s="15"/>
    </row>
    <row r="130" spans="1:37" ht="30" customHeight="1">
      <c r="A130" s="7"/>
      <c r="B130" s="8"/>
      <c r="C130" s="8"/>
      <c r="D130" s="8"/>
      <c r="E130" s="8"/>
      <c r="F130" s="9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9"/>
      <c r="U130" s="9"/>
      <c r="V130" s="8"/>
      <c r="W130" s="8"/>
      <c r="X130" s="8"/>
      <c r="Y130" s="8"/>
      <c r="Z130" s="12"/>
      <c r="AA130" s="8"/>
      <c r="AB130" s="8"/>
      <c r="AC130" s="8"/>
      <c r="AD130" s="12"/>
      <c r="AE130" s="8"/>
      <c r="AF130" s="8"/>
      <c r="AG130" s="8"/>
      <c r="AH130" s="13"/>
      <c r="AJ130" s="14"/>
      <c r="AK130" s="15"/>
    </row>
    <row r="131" spans="1:37" ht="30" customHeight="1">
      <c r="A131" s="7"/>
      <c r="B131" s="8"/>
      <c r="C131" s="8"/>
      <c r="D131" s="8"/>
      <c r="E131" s="8"/>
      <c r="F131" s="9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9"/>
      <c r="U131" s="9"/>
      <c r="V131" s="8"/>
      <c r="W131" s="8"/>
      <c r="X131" s="8"/>
      <c r="Y131" s="8"/>
      <c r="Z131" s="12"/>
      <c r="AA131" s="8"/>
      <c r="AB131" s="8"/>
      <c r="AC131" s="8"/>
      <c r="AD131" s="12"/>
      <c r="AE131" s="8"/>
      <c r="AF131" s="8"/>
      <c r="AG131" s="8"/>
      <c r="AH131" s="13"/>
      <c r="AJ131" s="15"/>
      <c r="AK131" s="15"/>
    </row>
    <row r="132" spans="1:37" ht="30" customHeight="1">
      <c r="A132" s="7"/>
      <c r="B132" s="8"/>
      <c r="C132" s="8"/>
      <c r="D132" s="8"/>
      <c r="E132" s="8"/>
      <c r="F132" s="9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9"/>
      <c r="U132" s="9"/>
      <c r="V132" s="8"/>
      <c r="W132" s="8"/>
      <c r="X132" s="8"/>
      <c r="Y132" s="8"/>
      <c r="Z132" s="12"/>
      <c r="AA132" s="8"/>
      <c r="AB132" s="8"/>
      <c r="AC132" s="8"/>
      <c r="AD132" s="12"/>
      <c r="AE132" s="8"/>
      <c r="AF132" s="8"/>
      <c r="AG132" s="8"/>
      <c r="AH132" s="13"/>
      <c r="AJ132" s="15"/>
      <c r="AK132" s="15"/>
    </row>
    <row r="133" spans="1:37" ht="30" customHeight="1">
      <c r="A133" s="7"/>
      <c r="B133" s="8"/>
      <c r="C133" s="8"/>
      <c r="D133" s="8"/>
      <c r="E133" s="8"/>
      <c r="F133" s="9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9"/>
      <c r="U133" s="9"/>
      <c r="V133" s="8"/>
      <c r="W133" s="8"/>
      <c r="X133" s="8"/>
      <c r="Y133" s="8"/>
      <c r="Z133" s="12"/>
      <c r="AA133" s="8"/>
      <c r="AB133" s="8"/>
      <c r="AC133" s="8"/>
      <c r="AD133" s="12"/>
      <c r="AE133" s="8"/>
      <c r="AF133" s="8"/>
      <c r="AG133" s="8"/>
      <c r="AH133" s="13"/>
      <c r="AJ133" s="14"/>
      <c r="AK133" s="15"/>
    </row>
    <row r="134" spans="1:37" ht="30" customHeight="1">
      <c r="A134" s="7"/>
      <c r="B134" s="8"/>
      <c r="C134" s="8"/>
      <c r="D134" s="8"/>
      <c r="E134" s="8"/>
      <c r="F134" s="9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9"/>
      <c r="U134" s="9"/>
      <c r="V134" s="8"/>
      <c r="W134" s="8"/>
      <c r="X134" s="8"/>
      <c r="Y134" s="8"/>
      <c r="Z134" s="12"/>
      <c r="AA134" s="8"/>
      <c r="AB134" s="8"/>
      <c r="AC134" s="8"/>
      <c r="AD134" s="12"/>
      <c r="AE134" s="8"/>
      <c r="AF134" s="8"/>
      <c r="AG134" s="8"/>
      <c r="AH134" s="13"/>
      <c r="AJ134" s="14"/>
      <c r="AK134" s="15"/>
    </row>
    <row r="135" spans="1:37" ht="30" customHeight="1">
      <c r="A135" s="7"/>
      <c r="B135" s="8"/>
      <c r="C135" s="8"/>
      <c r="D135" s="8"/>
      <c r="E135" s="8"/>
      <c r="F135" s="9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9"/>
      <c r="U135" s="9"/>
      <c r="V135" s="8"/>
      <c r="W135" s="8"/>
      <c r="X135" s="8"/>
      <c r="Y135" s="8"/>
      <c r="Z135" s="12"/>
      <c r="AA135" s="8"/>
      <c r="AB135" s="8"/>
      <c r="AC135" s="8"/>
      <c r="AD135" s="12"/>
      <c r="AE135" s="8"/>
      <c r="AF135" s="8"/>
      <c r="AG135" s="8"/>
      <c r="AH135" s="13"/>
      <c r="AJ135" s="15"/>
      <c r="AK135" s="15"/>
    </row>
    <row r="136" spans="1:37" ht="30" customHeight="1">
      <c r="A136" s="7"/>
      <c r="B136" s="8"/>
      <c r="C136" s="8"/>
      <c r="D136" s="8"/>
      <c r="E136" s="8"/>
      <c r="F136" s="9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9"/>
      <c r="U136" s="9"/>
      <c r="V136" s="8"/>
      <c r="W136" s="8"/>
      <c r="X136" s="8"/>
      <c r="Y136" s="8"/>
      <c r="Z136" s="12"/>
      <c r="AA136" s="8"/>
      <c r="AB136" s="8"/>
      <c r="AC136" s="8"/>
      <c r="AD136" s="12"/>
      <c r="AE136" s="8"/>
      <c r="AF136" s="8"/>
      <c r="AG136" s="8"/>
      <c r="AH136" s="13"/>
      <c r="AJ136" s="15"/>
      <c r="AK136" s="15"/>
    </row>
    <row r="137" spans="1:37" ht="30" customHeight="1">
      <c r="A137" s="7"/>
      <c r="B137" s="8"/>
      <c r="C137" s="8"/>
      <c r="D137" s="8"/>
      <c r="E137" s="8"/>
      <c r="F137" s="9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9"/>
      <c r="U137" s="9"/>
      <c r="V137" s="8"/>
      <c r="W137" s="8"/>
      <c r="X137" s="8"/>
      <c r="Y137" s="8"/>
      <c r="Z137" s="12"/>
      <c r="AA137" s="8"/>
      <c r="AB137" s="8"/>
      <c r="AC137" s="8"/>
      <c r="AD137" s="12"/>
      <c r="AE137" s="8"/>
      <c r="AF137" s="8"/>
      <c r="AG137" s="8"/>
      <c r="AH137" s="13"/>
      <c r="AJ137" s="14"/>
      <c r="AK137" s="15"/>
    </row>
    <row r="138" spans="1:37" ht="30" customHeight="1">
      <c r="A138" s="7"/>
      <c r="B138" s="8"/>
      <c r="C138" s="8"/>
      <c r="D138" s="8"/>
      <c r="E138" s="8"/>
      <c r="F138" s="9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9"/>
      <c r="U138" s="9"/>
      <c r="V138" s="8"/>
      <c r="W138" s="8"/>
      <c r="X138" s="8"/>
      <c r="Y138" s="8"/>
      <c r="Z138" s="12"/>
      <c r="AA138" s="8"/>
      <c r="AB138" s="8"/>
      <c r="AC138" s="8"/>
      <c r="AD138" s="12"/>
      <c r="AE138" s="8"/>
      <c r="AF138" s="8"/>
      <c r="AG138" s="8"/>
      <c r="AH138" s="13"/>
      <c r="AJ138" s="15"/>
      <c r="AK138" s="15"/>
    </row>
    <row r="139" spans="1:37" ht="30" customHeight="1">
      <c r="A139" s="7"/>
      <c r="B139" s="8"/>
      <c r="C139" s="8"/>
      <c r="D139" s="8"/>
      <c r="E139" s="8"/>
      <c r="F139" s="9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9"/>
      <c r="U139" s="9"/>
      <c r="V139" s="8"/>
      <c r="W139" s="8"/>
      <c r="X139" s="8"/>
      <c r="Y139" s="8"/>
      <c r="Z139" s="12"/>
      <c r="AA139" s="8"/>
      <c r="AB139" s="8"/>
      <c r="AC139" s="8"/>
      <c r="AD139" s="12"/>
      <c r="AE139" s="8"/>
      <c r="AF139" s="8"/>
      <c r="AG139" s="8"/>
      <c r="AH139" s="13"/>
      <c r="AI139" s="20"/>
      <c r="AJ139" s="15"/>
      <c r="AK139" s="15"/>
    </row>
    <row r="140" spans="1:37" ht="30" customHeight="1">
      <c r="A140" s="7"/>
      <c r="B140" s="8"/>
      <c r="C140" s="8"/>
      <c r="D140" s="8"/>
      <c r="E140" s="8"/>
      <c r="F140" s="9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9"/>
      <c r="U140" s="9"/>
      <c r="V140" s="8"/>
      <c r="W140" s="8"/>
      <c r="X140" s="8"/>
      <c r="Y140" s="8"/>
      <c r="Z140" s="12"/>
      <c r="AA140" s="8"/>
      <c r="AB140" s="8"/>
      <c r="AC140" s="8"/>
      <c r="AD140" s="12"/>
      <c r="AE140" s="8"/>
      <c r="AF140" s="8"/>
      <c r="AG140" s="8"/>
      <c r="AH140" s="13"/>
      <c r="AJ140" s="15"/>
      <c r="AK140" s="15"/>
    </row>
    <row r="141" spans="1:37" ht="30" customHeight="1">
      <c r="A141" s="7"/>
      <c r="B141" s="8"/>
      <c r="C141" s="8"/>
      <c r="D141" s="8"/>
      <c r="E141" s="8"/>
      <c r="F141" s="9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9"/>
      <c r="U141" s="9"/>
      <c r="V141" s="8"/>
      <c r="W141" s="8"/>
      <c r="X141" s="8"/>
      <c r="Y141" s="8"/>
      <c r="Z141" s="12"/>
      <c r="AA141" s="8"/>
      <c r="AB141" s="8"/>
      <c r="AC141" s="8"/>
      <c r="AD141" s="12"/>
      <c r="AE141" s="8"/>
      <c r="AF141" s="8"/>
      <c r="AG141" s="8"/>
      <c r="AH141" s="13"/>
      <c r="AJ141" s="14"/>
      <c r="AK141" s="15"/>
    </row>
    <row r="142" spans="1:37" ht="30" customHeight="1">
      <c r="A142" s="7"/>
      <c r="B142" s="8"/>
      <c r="C142" s="8"/>
      <c r="D142" s="8"/>
      <c r="E142" s="8"/>
      <c r="F142" s="9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9"/>
      <c r="U142" s="9"/>
      <c r="V142" s="8"/>
      <c r="W142" s="8"/>
      <c r="X142" s="8"/>
      <c r="Y142" s="8"/>
      <c r="Z142" s="12"/>
      <c r="AA142" s="8"/>
      <c r="AB142" s="8"/>
      <c r="AC142" s="8"/>
      <c r="AD142" s="12"/>
      <c r="AE142" s="8"/>
      <c r="AF142" s="8"/>
      <c r="AG142" s="8"/>
      <c r="AH142" s="13"/>
      <c r="AJ142" s="14"/>
      <c r="AK142" s="15"/>
    </row>
    <row r="143" spans="1:37" ht="30" customHeight="1">
      <c r="A143" s="7"/>
      <c r="B143" s="8"/>
      <c r="C143" s="8"/>
      <c r="D143" s="8"/>
      <c r="E143" s="8"/>
      <c r="F143" s="9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9"/>
      <c r="U143" s="9"/>
      <c r="V143" s="8"/>
      <c r="W143" s="8"/>
      <c r="X143" s="8"/>
      <c r="Y143" s="8"/>
      <c r="Z143" s="12"/>
      <c r="AA143" s="8"/>
      <c r="AB143" s="8"/>
      <c r="AC143" s="8"/>
      <c r="AD143" s="12"/>
      <c r="AE143" s="8"/>
      <c r="AF143" s="8"/>
      <c r="AG143" s="8"/>
      <c r="AH143" s="13"/>
      <c r="AJ143" s="15"/>
      <c r="AK143" s="15"/>
    </row>
    <row r="144" spans="1:37" ht="30" customHeight="1">
      <c r="A144" s="7"/>
      <c r="B144" s="8"/>
      <c r="C144" s="8"/>
      <c r="D144" s="8"/>
      <c r="E144" s="8"/>
      <c r="F144" s="9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9"/>
      <c r="U144" s="9"/>
      <c r="V144" s="8"/>
      <c r="W144" s="8"/>
      <c r="X144" s="8"/>
      <c r="Y144" s="8"/>
      <c r="Z144" s="12"/>
      <c r="AA144" s="8"/>
      <c r="AB144" s="8"/>
      <c r="AC144" s="8"/>
      <c r="AD144" s="12"/>
      <c r="AE144" s="8"/>
      <c r="AF144" s="8"/>
      <c r="AG144" s="8"/>
      <c r="AH144" s="13"/>
      <c r="AJ144" s="15"/>
      <c r="AK144" s="15"/>
    </row>
    <row r="145" spans="1:37" ht="30" customHeight="1">
      <c r="A145" s="7"/>
      <c r="B145" s="8"/>
      <c r="C145" s="8"/>
      <c r="D145" s="8"/>
      <c r="E145" s="8"/>
      <c r="F145" s="9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9"/>
      <c r="U145" s="9"/>
      <c r="V145" s="8"/>
      <c r="W145" s="8"/>
      <c r="X145" s="8"/>
      <c r="Y145" s="8"/>
      <c r="Z145" s="12"/>
      <c r="AA145" s="8"/>
      <c r="AB145" s="8"/>
      <c r="AC145" s="8"/>
      <c r="AD145" s="12"/>
      <c r="AE145" s="8"/>
      <c r="AF145" s="8"/>
      <c r="AG145" s="8"/>
      <c r="AH145" s="13"/>
      <c r="AJ145" s="14"/>
      <c r="AK145" s="15"/>
    </row>
    <row r="146" spans="1:37" ht="30" customHeight="1">
      <c r="A146" s="7"/>
      <c r="B146" s="8"/>
      <c r="C146" s="8"/>
      <c r="D146" s="8"/>
      <c r="E146" s="8"/>
      <c r="F146" s="9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9"/>
      <c r="U146" s="9"/>
      <c r="V146" s="8"/>
      <c r="W146" s="8"/>
      <c r="X146" s="8"/>
      <c r="Y146" s="8"/>
      <c r="Z146" s="12"/>
      <c r="AA146" s="8"/>
      <c r="AB146" s="8"/>
      <c r="AC146" s="8"/>
      <c r="AD146" s="12"/>
      <c r="AE146" s="8"/>
      <c r="AF146" s="8"/>
      <c r="AG146" s="8"/>
      <c r="AH146" s="13"/>
      <c r="AJ146" s="14"/>
      <c r="AK146" s="15"/>
    </row>
    <row r="147" spans="1:37" ht="30" customHeight="1">
      <c r="A147" s="7"/>
      <c r="B147" s="8"/>
      <c r="C147" s="8"/>
      <c r="D147" s="8"/>
      <c r="E147" s="8"/>
      <c r="F147" s="9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9"/>
      <c r="U147" s="9"/>
      <c r="V147" s="8"/>
      <c r="W147" s="8"/>
      <c r="X147" s="8"/>
      <c r="Y147" s="8"/>
      <c r="Z147" s="12"/>
      <c r="AA147" s="8"/>
      <c r="AB147" s="8"/>
      <c r="AC147" s="8"/>
      <c r="AD147" s="12"/>
      <c r="AE147" s="8"/>
      <c r="AF147" s="8"/>
      <c r="AG147" s="8"/>
      <c r="AH147" s="13"/>
      <c r="AJ147" s="15"/>
      <c r="AK147" s="15"/>
    </row>
    <row r="148" spans="1:37" ht="30" customHeight="1">
      <c r="A148" s="7"/>
      <c r="B148" s="8"/>
      <c r="C148" s="8"/>
      <c r="D148" s="8"/>
      <c r="E148" s="8"/>
      <c r="F148" s="9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9"/>
      <c r="U148" s="9"/>
      <c r="V148" s="8"/>
      <c r="W148" s="8"/>
      <c r="X148" s="8"/>
      <c r="Y148" s="8"/>
      <c r="Z148" s="12"/>
      <c r="AA148" s="8"/>
      <c r="AB148" s="8"/>
      <c r="AC148" s="8"/>
      <c r="AD148" s="12"/>
      <c r="AE148" s="8"/>
      <c r="AF148" s="8"/>
      <c r="AG148" s="8"/>
      <c r="AH148" s="13"/>
      <c r="AJ148" s="14"/>
      <c r="AK148" s="15"/>
    </row>
    <row r="149" spans="1:37" ht="30" customHeight="1">
      <c r="A149" s="7"/>
      <c r="B149" s="8"/>
      <c r="C149" s="8"/>
      <c r="D149" s="8"/>
      <c r="E149" s="8"/>
      <c r="F149" s="9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9"/>
      <c r="U149" s="9"/>
      <c r="V149" s="8"/>
      <c r="W149" s="8"/>
      <c r="X149" s="8"/>
      <c r="Y149" s="8"/>
      <c r="Z149" s="12"/>
      <c r="AA149" s="8"/>
      <c r="AB149" s="8"/>
      <c r="AC149" s="8"/>
      <c r="AD149" s="12"/>
      <c r="AE149" s="8"/>
      <c r="AF149" s="8"/>
      <c r="AG149" s="8"/>
      <c r="AH149" s="13"/>
      <c r="AJ149" s="15"/>
      <c r="AK149" s="15"/>
    </row>
    <row r="150" spans="1:37" ht="30" customHeight="1">
      <c r="A150" s="7"/>
      <c r="B150" s="8"/>
      <c r="C150" s="8"/>
      <c r="D150" s="8"/>
      <c r="E150" s="8"/>
      <c r="F150" s="9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9"/>
      <c r="U150" s="9"/>
      <c r="V150" s="8"/>
      <c r="W150" s="8"/>
      <c r="X150" s="8"/>
      <c r="Y150" s="8"/>
      <c r="Z150" s="12"/>
      <c r="AA150" s="8"/>
      <c r="AB150" s="8"/>
      <c r="AC150" s="8"/>
      <c r="AD150" s="12"/>
      <c r="AE150" s="8"/>
      <c r="AF150" s="8"/>
      <c r="AG150" s="8"/>
      <c r="AH150" s="13"/>
      <c r="AJ150" s="15"/>
      <c r="AK150" s="15"/>
    </row>
    <row r="151" spans="1:37" ht="30" customHeight="1">
      <c r="A151" s="7"/>
      <c r="B151" s="8"/>
      <c r="C151" s="8"/>
      <c r="D151" s="8"/>
      <c r="E151" s="8"/>
      <c r="F151" s="9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9"/>
      <c r="U151" s="9"/>
      <c r="V151" s="8"/>
      <c r="W151" s="8"/>
      <c r="X151" s="8"/>
      <c r="Y151" s="8"/>
      <c r="Z151" s="12"/>
      <c r="AA151" s="8"/>
      <c r="AB151" s="8"/>
      <c r="AC151" s="8"/>
      <c r="AD151" s="12"/>
      <c r="AE151" s="8"/>
      <c r="AF151" s="8"/>
      <c r="AG151" s="8"/>
      <c r="AH151" s="13"/>
      <c r="AJ151" s="14"/>
      <c r="AK151" s="15"/>
    </row>
    <row r="152" spans="1:37" ht="30" customHeight="1">
      <c r="A152" s="7"/>
      <c r="B152" s="8"/>
      <c r="C152" s="8"/>
      <c r="D152" s="8"/>
      <c r="E152" s="8"/>
      <c r="F152" s="9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9"/>
      <c r="U152" s="9"/>
      <c r="V152" s="8"/>
      <c r="W152" s="8"/>
      <c r="X152" s="8"/>
      <c r="Y152" s="8"/>
      <c r="Z152" s="12"/>
      <c r="AA152" s="8"/>
      <c r="AB152" s="8"/>
      <c r="AC152" s="8"/>
      <c r="AD152" s="12"/>
      <c r="AE152" s="8"/>
      <c r="AF152" s="8"/>
      <c r="AG152" s="8"/>
      <c r="AH152" s="13"/>
      <c r="AI152" s="10"/>
      <c r="AJ152" s="15"/>
      <c r="AK152" s="15"/>
    </row>
    <row r="153" spans="1:37" ht="30" customHeight="1">
      <c r="A153" s="7"/>
      <c r="B153" s="8"/>
      <c r="C153" s="8"/>
      <c r="D153" s="8"/>
      <c r="E153" s="8"/>
      <c r="F153" s="9"/>
      <c r="G153" s="8"/>
      <c r="H153" s="8"/>
      <c r="I153" s="10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9"/>
      <c r="U153" s="9"/>
      <c r="V153" s="10"/>
      <c r="W153" s="8"/>
      <c r="X153" s="8"/>
      <c r="Y153" s="10"/>
      <c r="Z153" s="12"/>
      <c r="AA153" s="8"/>
      <c r="AB153" s="8"/>
      <c r="AC153" s="8"/>
      <c r="AD153" s="12"/>
      <c r="AE153" s="8"/>
      <c r="AF153" s="8"/>
      <c r="AG153" s="8"/>
      <c r="AH153" s="13"/>
      <c r="AI153" s="10"/>
      <c r="AJ153" s="22"/>
      <c r="AK153" s="23"/>
    </row>
    <row r="154" spans="1:37" ht="30" customHeight="1">
      <c r="A154" s="7"/>
      <c r="B154" s="8"/>
      <c r="C154" s="8"/>
      <c r="D154" s="8"/>
      <c r="E154" s="8"/>
      <c r="F154" s="9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9"/>
      <c r="U154" s="9"/>
      <c r="V154" s="8"/>
      <c r="W154" s="8"/>
      <c r="X154" s="8"/>
      <c r="Y154" s="8"/>
      <c r="Z154" s="12"/>
      <c r="AA154" s="8"/>
      <c r="AB154" s="8"/>
      <c r="AC154" s="8"/>
      <c r="AD154" s="12"/>
      <c r="AE154" s="8"/>
      <c r="AF154" s="8"/>
      <c r="AG154" s="8"/>
      <c r="AH154" s="13"/>
      <c r="AJ154" s="22"/>
      <c r="AK154" s="15"/>
    </row>
    <row r="155" spans="1:37" ht="30" customHeight="1">
      <c r="A155" s="7"/>
      <c r="B155" s="8"/>
      <c r="C155" s="8"/>
      <c r="D155" s="8"/>
      <c r="E155" s="8"/>
      <c r="F155" s="9"/>
      <c r="G155" s="8"/>
      <c r="H155" s="8"/>
      <c r="I155" s="10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9"/>
      <c r="U155" s="9"/>
      <c r="V155" s="10"/>
      <c r="W155" s="8"/>
      <c r="X155" s="8"/>
      <c r="Y155" s="10"/>
      <c r="Z155" s="12"/>
      <c r="AA155" s="8"/>
      <c r="AB155" s="8"/>
      <c r="AC155" s="8"/>
      <c r="AD155" s="12"/>
      <c r="AE155" s="8"/>
      <c r="AF155" s="8"/>
      <c r="AG155" s="8"/>
      <c r="AH155" s="13"/>
      <c r="AI155" s="21"/>
      <c r="AJ155" s="22"/>
      <c r="AK155" s="23"/>
    </row>
    <row r="156" spans="1:37" ht="30" customHeight="1">
      <c r="A156" s="7"/>
      <c r="B156" s="8"/>
      <c r="C156" s="8"/>
      <c r="D156" s="8"/>
      <c r="E156" s="8"/>
      <c r="F156" s="9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9"/>
      <c r="U156" s="9"/>
      <c r="V156" s="8"/>
      <c r="W156" s="8"/>
      <c r="X156" s="8"/>
      <c r="Y156" s="8"/>
      <c r="Z156" s="12"/>
      <c r="AA156" s="8"/>
      <c r="AB156" s="8"/>
      <c r="AC156" s="8"/>
      <c r="AD156" s="12"/>
      <c r="AE156" s="8"/>
      <c r="AF156" s="8"/>
      <c r="AG156" s="8"/>
      <c r="AH156" s="13"/>
      <c r="AJ156" s="15"/>
      <c r="AK156" s="15"/>
    </row>
    <row r="157" spans="1:37" ht="30" customHeight="1">
      <c r="A157" s="7"/>
      <c r="B157" s="8"/>
      <c r="C157" s="8"/>
      <c r="D157" s="8"/>
      <c r="E157" s="8"/>
      <c r="F157" s="9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9"/>
      <c r="U157" s="9"/>
      <c r="V157" s="8"/>
      <c r="W157" s="8"/>
      <c r="X157" s="8"/>
      <c r="Y157" s="8"/>
      <c r="Z157" s="12"/>
      <c r="AA157" s="8"/>
      <c r="AB157" s="8"/>
      <c r="AC157" s="8"/>
      <c r="AD157" s="12"/>
      <c r="AE157" s="8"/>
      <c r="AF157" s="8"/>
      <c r="AG157" s="8"/>
      <c r="AH157" s="13"/>
      <c r="AI157" s="8"/>
      <c r="AJ157" s="14"/>
      <c r="AK157" s="15"/>
    </row>
    <row r="158" spans="1:37" ht="30" customHeight="1">
      <c r="A158" s="7"/>
      <c r="B158" s="8"/>
      <c r="C158" s="8"/>
      <c r="D158" s="8"/>
      <c r="E158" s="8"/>
      <c r="F158" s="9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9"/>
      <c r="U158" s="9"/>
      <c r="V158" s="8"/>
      <c r="W158" s="8"/>
      <c r="X158" s="8"/>
      <c r="Y158" s="8"/>
      <c r="Z158" s="12"/>
      <c r="AA158" s="8"/>
      <c r="AB158" s="8"/>
      <c r="AC158" s="8"/>
      <c r="AD158" s="12"/>
      <c r="AE158" s="8"/>
      <c r="AF158" s="8"/>
      <c r="AG158" s="8"/>
      <c r="AH158" s="13"/>
      <c r="AJ158" s="15"/>
      <c r="AK158" s="15"/>
    </row>
    <row r="159" spans="1:37" ht="30" customHeight="1">
      <c r="A159" s="7"/>
      <c r="B159" s="8"/>
      <c r="C159" s="8"/>
      <c r="D159" s="8"/>
      <c r="E159" s="8"/>
      <c r="F159" s="9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9"/>
      <c r="U159" s="9"/>
      <c r="V159" s="8"/>
      <c r="W159" s="8"/>
      <c r="X159" s="8"/>
      <c r="Y159" s="8"/>
      <c r="Z159" s="12"/>
      <c r="AA159" s="8"/>
      <c r="AB159" s="8"/>
      <c r="AC159" s="8"/>
      <c r="AD159" s="12"/>
      <c r="AE159" s="8"/>
      <c r="AF159" s="8"/>
      <c r="AG159" s="8"/>
      <c r="AH159" s="13"/>
      <c r="AJ159" s="15"/>
      <c r="AK159" s="15"/>
    </row>
    <row r="160" spans="1:37" ht="30" customHeight="1">
      <c r="A160" s="7"/>
      <c r="B160" s="8"/>
      <c r="C160" s="8"/>
      <c r="D160" s="8"/>
      <c r="E160" s="8"/>
      <c r="F160" s="9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9"/>
      <c r="U160" s="9"/>
      <c r="V160" s="8"/>
      <c r="W160" s="8"/>
      <c r="X160" s="8"/>
      <c r="Y160" s="8"/>
      <c r="Z160" s="12"/>
      <c r="AA160" s="8"/>
      <c r="AB160" s="8"/>
      <c r="AC160" s="8"/>
      <c r="AD160" s="12"/>
      <c r="AE160" s="8"/>
      <c r="AF160" s="8"/>
      <c r="AG160" s="8"/>
      <c r="AH160" s="13"/>
      <c r="AJ160" s="14"/>
      <c r="AK160" s="15"/>
    </row>
    <row r="161" spans="1:37" ht="30" customHeight="1">
      <c r="A161" s="7"/>
      <c r="B161" s="8"/>
      <c r="C161" s="8"/>
      <c r="D161" s="8"/>
      <c r="E161" s="8"/>
      <c r="F161" s="9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9"/>
      <c r="U161" s="9"/>
      <c r="V161" s="8"/>
      <c r="W161" s="8"/>
      <c r="X161" s="8"/>
      <c r="Y161" s="8"/>
      <c r="Z161" s="12"/>
      <c r="AA161" s="8"/>
      <c r="AB161" s="8"/>
      <c r="AC161" s="8"/>
      <c r="AD161" s="12"/>
      <c r="AE161" s="8"/>
      <c r="AF161" s="8"/>
      <c r="AG161" s="8"/>
      <c r="AH161" s="13"/>
      <c r="AJ161" s="14"/>
      <c r="AK161" s="15"/>
    </row>
    <row r="162" spans="1:37" ht="30" customHeight="1">
      <c r="A162" s="7"/>
      <c r="B162" s="8"/>
      <c r="C162" s="8"/>
      <c r="D162" s="8"/>
      <c r="E162" s="8"/>
      <c r="F162" s="9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9"/>
      <c r="U162" s="9"/>
      <c r="V162" s="8"/>
      <c r="W162" s="8"/>
      <c r="X162" s="8"/>
      <c r="Y162" s="8"/>
      <c r="Z162" s="12"/>
      <c r="AA162" s="8"/>
      <c r="AB162" s="8"/>
      <c r="AC162" s="8"/>
      <c r="AD162" s="12"/>
      <c r="AE162" s="8"/>
      <c r="AF162" s="8"/>
      <c r="AG162" s="8"/>
      <c r="AH162" s="13"/>
      <c r="AJ162" s="14"/>
      <c r="AK162" s="15"/>
    </row>
    <row r="163" spans="1:37" ht="30" customHeight="1">
      <c r="A163" s="7"/>
      <c r="B163" s="8"/>
      <c r="C163" s="8"/>
      <c r="D163" s="8"/>
      <c r="E163" s="8"/>
      <c r="F163" s="9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9"/>
      <c r="U163" s="9"/>
      <c r="V163" s="8"/>
      <c r="W163" s="8"/>
      <c r="X163" s="8"/>
      <c r="Y163" s="8"/>
      <c r="Z163" s="12"/>
      <c r="AA163" s="8"/>
      <c r="AB163" s="8"/>
      <c r="AC163" s="8"/>
      <c r="AD163" s="12"/>
      <c r="AE163" s="8"/>
      <c r="AF163" s="8"/>
      <c r="AG163" s="8"/>
      <c r="AH163" s="13"/>
      <c r="AJ163" s="14"/>
      <c r="AK163" s="15"/>
    </row>
    <row r="164" spans="1:37" ht="30" customHeight="1">
      <c r="A164" s="7"/>
      <c r="B164" s="8"/>
      <c r="C164" s="8"/>
      <c r="D164" s="8"/>
      <c r="E164" s="8"/>
      <c r="F164" s="9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9"/>
      <c r="U164" s="9"/>
      <c r="V164" s="8"/>
      <c r="W164" s="8"/>
      <c r="X164" s="8"/>
      <c r="Y164" s="8"/>
      <c r="Z164" s="12"/>
      <c r="AA164" s="8"/>
      <c r="AB164" s="8"/>
      <c r="AC164" s="8"/>
      <c r="AD164" s="12"/>
      <c r="AE164" s="8"/>
      <c r="AF164" s="8"/>
      <c r="AG164" s="8"/>
      <c r="AH164" s="13"/>
      <c r="AJ164" s="14"/>
      <c r="AK164" s="15"/>
    </row>
    <row r="165" spans="1:37" ht="30" customHeight="1">
      <c r="A165" s="7"/>
      <c r="B165" s="8"/>
      <c r="C165" s="8"/>
      <c r="D165" s="8"/>
      <c r="E165" s="8"/>
      <c r="F165" s="9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9"/>
      <c r="U165" s="9"/>
      <c r="V165" s="8"/>
      <c r="W165" s="8"/>
      <c r="X165" s="8"/>
      <c r="Y165" s="8"/>
      <c r="Z165" s="12"/>
      <c r="AA165" s="8"/>
      <c r="AB165" s="8"/>
      <c r="AC165" s="8"/>
      <c r="AD165" s="12"/>
      <c r="AE165" s="8"/>
      <c r="AF165" s="8"/>
      <c r="AG165" s="8"/>
      <c r="AH165" s="13"/>
      <c r="AJ165" s="15"/>
      <c r="AK165" s="15"/>
    </row>
    <row r="166" spans="1:37" ht="30" customHeight="1">
      <c r="A166" s="7"/>
      <c r="B166" s="8"/>
      <c r="C166" s="8"/>
      <c r="D166" s="8"/>
      <c r="E166" s="8"/>
      <c r="F166" s="9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9"/>
      <c r="U166" s="9"/>
      <c r="V166" s="8"/>
      <c r="W166" s="8"/>
      <c r="X166" s="8"/>
      <c r="Y166" s="8"/>
      <c r="Z166" s="12"/>
      <c r="AA166" s="8"/>
      <c r="AB166" s="8"/>
      <c r="AC166" s="8"/>
      <c r="AD166" s="12"/>
      <c r="AE166" s="8"/>
      <c r="AF166" s="8"/>
      <c r="AG166" s="8"/>
      <c r="AH166" s="13"/>
      <c r="AJ166" s="14"/>
      <c r="AK166" s="15"/>
    </row>
    <row r="167" spans="1:37" ht="30" customHeight="1">
      <c r="A167" s="7"/>
      <c r="B167" s="8"/>
      <c r="C167" s="8"/>
      <c r="D167" s="8"/>
      <c r="E167" s="8"/>
      <c r="F167" s="9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9"/>
      <c r="U167" s="9"/>
      <c r="V167" s="8"/>
      <c r="W167" s="8"/>
      <c r="X167" s="8"/>
      <c r="Y167" s="8"/>
      <c r="Z167" s="12"/>
      <c r="AA167" s="8"/>
      <c r="AB167" s="8"/>
      <c r="AC167" s="8"/>
      <c r="AD167" s="12"/>
      <c r="AE167" s="8"/>
      <c r="AF167" s="8"/>
      <c r="AG167" s="8"/>
      <c r="AH167" s="13"/>
      <c r="AJ167" s="14"/>
      <c r="AK167" s="15"/>
    </row>
    <row r="168" spans="1:37" ht="30" customHeight="1">
      <c r="A168" s="7"/>
      <c r="B168" s="8"/>
      <c r="C168" s="8"/>
      <c r="D168" s="8"/>
      <c r="E168" s="8"/>
      <c r="F168" s="9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9"/>
      <c r="U168" s="9"/>
      <c r="V168" s="8"/>
      <c r="W168" s="8"/>
      <c r="X168" s="8"/>
      <c r="Y168" s="8"/>
      <c r="Z168" s="12"/>
      <c r="AA168" s="8"/>
      <c r="AB168" s="8"/>
      <c r="AC168" s="8"/>
      <c r="AD168" s="12"/>
      <c r="AE168" s="8"/>
      <c r="AF168" s="8"/>
      <c r="AG168" s="8"/>
      <c r="AH168" s="13"/>
      <c r="AI168" s="8"/>
      <c r="AJ168" s="15"/>
      <c r="AK168" s="15"/>
    </row>
    <row r="169" spans="1:37" ht="30" customHeight="1">
      <c r="A169" s="7"/>
      <c r="B169" s="8"/>
      <c r="C169" s="8"/>
      <c r="D169" s="8"/>
      <c r="E169" s="8"/>
      <c r="F169" s="9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9"/>
      <c r="U169" s="9"/>
      <c r="V169" s="8"/>
      <c r="W169" s="8"/>
      <c r="X169" s="8"/>
      <c r="Y169" s="8"/>
      <c r="Z169" s="12"/>
      <c r="AA169" s="8"/>
      <c r="AB169" s="8"/>
      <c r="AC169" s="8"/>
      <c r="AD169" s="12"/>
      <c r="AE169" s="8"/>
      <c r="AF169" s="8"/>
      <c r="AG169" s="8"/>
      <c r="AH169" s="13"/>
      <c r="AI169" s="20"/>
      <c r="AJ169" s="15"/>
      <c r="AK169" s="15"/>
    </row>
    <row r="170" spans="1:37" ht="30" customHeight="1">
      <c r="A170" s="7"/>
      <c r="B170" s="8"/>
      <c r="C170" s="8"/>
      <c r="D170" s="8"/>
      <c r="E170" s="8"/>
      <c r="F170" s="9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9"/>
      <c r="U170" s="9"/>
      <c r="V170" s="8"/>
      <c r="W170" s="8"/>
      <c r="X170" s="8"/>
      <c r="Y170" s="8"/>
      <c r="Z170" s="12"/>
      <c r="AA170" s="8"/>
      <c r="AB170" s="8"/>
      <c r="AC170" s="8"/>
      <c r="AD170" s="12"/>
      <c r="AE170" s="8"/>
      <c r="AF170" s="8"/>
      <c r="AG170" s="8"/>
      <c r="AH170" s="13"/>
      <c r="AJ170" s="14"/>
      <c r="AK170" s="15"/>
    </row>
    <row r="171" spans="1:37" ht="30" customHeight="1">
      <c r="A171" s="7"/>
      <c r="B171" s="8"/>
      <c r="C171" s="8"/>
      <c r="D171" s="8"/>
      <c r="E171" s="8"/>
      <c r="F171" s="9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9"/>
      <c r="U171" s="9"/>
      <c r="V171" s="8"/>
      <c r="W171" s="8"/>
      <c r="X171" s="8"/>
      <c r="Y171" s="8"/>
      <c r="Z171" s="12"/>
      <c r="AA171" s="8"/>
      <c r="AB171" s="8"/>
      <c r="AC171" s="8"/>
      <c r="AD171" s="12"/>
      <c r="AE171" s="8"/>
      <c r="AF171" s="8"/>
      <c r="AG171" s="8"/>
      <c r="AH171" s="13"/>
      <c r="AJ171" s="14"/>
      <c r="AK171" s="15"/>
    </row>
    <row r="172" spans="1:37" ht="30" customHeight="1">
      <c r="A172" s="7"/>
      <c r="B172" s="8"/>
      <c r="C172" s="8"/>
      <c r="D172" s="8"/>
      <c r="E172" s="8"/>
      <c r="F172" s="9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9"/>
      <c r="U172" s="9"/>
      <c r="V172" s="8"/>
      <c r="W172" s="8"/>
      <c r="X172" s="8"/>
      <c r="Y172" s="8"/>
      <c r="Z172" s="12"/>
      <c r="AA172" s="8"/>
      <c r="AB172" s="8"/>
      <c r="AC172" s="8"/>
      <c r="AD172" s="12"/>
      <c r="AE172" s="8"/>
      <c r="AF172" s="8"/>
      <c r="AG172" s="8"/>
      <c r="AH172" s="13"/>
      <c r="AJ172" s="15"/>
      <c r="AK172" s="15"/>
    </row>
    <row r="173" spans="1:37" ht="30" customHeight="1">
      <c r="A173" s="7"/>
      <c r="B173" s="8"/>
      <c r="C173" s="8"/>
      <c r="D173" s="8"/>
      <c r="E173" s="8"/>
      <c r="F173" s="9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9"/>
      <c r="U173" s="9"/>
      <c r="V173" s="8"/>
      <c r="W173" s="8"/>
      <c r="X173" s="8"/>
      <c r="Y173" s="8"/>
      <c r="Z173" s="12"/>
      <c r="AA173" s="8"/>
      <c r="AB173" s="8"/>
      <c r="AC173" s="8"/>
      <c r="AD173" s="12"/>
      <c r="AE173" s="8"/>
      <c r="AF173" s="8"/>
      <c r="AG173" s="8"/>
      <c r="AH173" s="13"/>
      <c r="AI173" s="20"/>
      <c r="AJ173" s="14"/>
      <c r="AK173" s="15"/>
    </row>
    <row r="174" spans="1:37" ht="30" customHeight="1">
      <c r="A174" s="7"/>
      <c r="B174" s="8"/>
      <c r="C174" s="8"/>
      <c r="D174" s="8"/>
      <c r="E174" s="8"/>
      <c r="F174" s="9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9"/>
      <c r="U174" s="9"/>
      <c r="V174" s="8"/>
      <c r="W174" s="8"/>
      <c r="X174" s="8"/>
      <c r="Y174" s="8"/>
      <c r="Z174" s="12"/>
      <c r="AA174" s="8"/>
      <c r="AB174" s="8"/>
      <c r="AC174" s="8"/>
      <c r="AD174" s="12"/>
      <c r="AE174" s="8"/>
      <c r="AF174" s="8"/>
      <c r="AG174" s="8"/>
      <c r="AH174" s="13"/>
      <c r="AJ174" s="14"/>
      <c r="AK174" s="15"/>
    </row>
    <row r="175" spans="1:37" ht="30" customHeight="1">
      <c r="A175" s="7"/>
      <c r="B175" s="8"/>
      <c r="C175" s="8"/>
      <c r="D175" s="8"/>
      <c r="E175" s="8"/>
      <c r="F175" s="9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9"/>
      <c r="U175" s="9"/>
      <c r="V175" s="8"/>
      <c r="W175" s="8"/>
      <c r="X175" s="8"/>
      <c r="Y175" s="8"/>
      <c r="Z175" s="12"/>
      <c r="AA175" s="8"/>
      <c r="AB175" s="8"/>
      <c r="AC175" s="8"/>
      <c r="AD175" s="12"/>
      <c r="AE175" s="8"/>
      <c r="AF175" s="8"/>
      <c r="AG175" s="8"/>
      <c r="AH175" s="13"/>
      <c r="AI175" s="10"/>
      <c r="AJ175" s="15"/>
      <c r="AK175" s="15"/>
    </row>
    <row r="176" spans="1:37" ht="30" customHeight="1">
      <c r="A176" s="7"/>
      <c r="B176" s="8"/>
      <c r="C176" s="8"/>
      <c r="D176" s="8"/>
      <c r="E176" s="8"/>
      <c r="F176" s="9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9"/>
      <c r="U176" s="9"/>
      <c r="V176" s="8"/>
      <c r="W176" s="8"/>
      <c r="X176" s="8"/>
      <c r="Y176" s="8"/>
      <c r="Z176" s="12"/>
      <c r="AA176" s="8"/>
      <c r="AB176" s="8"/>
      <c r="AC176" s="8"/>
      <c r="AD176" s="12"/>
      <c r="AE176" s="8"/>
      <c r="AF176" s="8"/>
      <c r="AG176" s="8"/>
      <c r="AH176" s="13"/>
      <c r="AI176" s="25"/>
      <c r="AJ176" s="15"/>
      <c r="AK176" s="15"/>
    </row>
    <row r="177" spans="1:37" ht="30" customHeight="1">
      <c r="A177" s="7"/>
      <c r="B177" s="8"/>
      <c r="C177" s="8"/>
      <c r="D177" s="8"/>
      <c r="E177" s="8"/>
      <c r="F177" s="9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9"/>
      <c r="U177" s="9"/>
      <c r="V177" s="8"/>
      <c r="W177" s="8"/>
      <c r="X177" s="8"/>
      <c r="Y177" s="8"/>
      <c r="Z177" s="12"/>
      <c r="AA177" s="8"/>
      <c r="AB177" s="8"/>
      <c r="AC177" s="8"/>
      <c r="AD177" s="12"/>
      <c r="AE177" s="8"/>
      <c r="AF177" s="8"/>
      <c r="AG177" s="8"/>
      <c r="AH177" s="13"/>
      <c r="AI177" s="25"/>
      <c r="AJ177" s="14"/>
      <c r="AK177" s="15"/>
    </row>
    <row r="178" spans="1:37" ht="30" customHeight="1">
      <c r="A178" s="7"/>
      <c r="B178" s="8"/>
      <c r="C178" s="8"/>
      <c r="D178" s="8"/>
      <c r="E178" s="8"/>
      <c r="F178" s="9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9"/>
      <c r="U178" s="9"/>
      <c r="V178" s="8"/>
      <c r="W178" s="8"/>
      <c r="X178" s="8"/>
      <c r="Y178" s="8"/>
      <c r="Z178" s="12"/>
      <c r="AA178" s="8"/>
      <c r="AB178" s="8"/>
      <c r="AC178" s="8"/>
      <c r="AD178" s="12"/>
      <c r="AE178" s="8"/>
      <c r="AF178" s="8"/>
      <c r="AG178" s="8"/>
      <c r="AH178" s="13"/>
      <c r="AI178" s="25"/>
      <c r="AJ178" s="14"/>
      <c r="AK178" s="15"/>
    </row>
    <row r="179" spans="1:37" ht="30" customHeight="1">
      <c r="A179" s="7"/>
      <c r="B179" s="8"/>
      <c r="C179" s="8"/>
      <c r="D179" s="8"/>
      <c r="E179" s="8"/>
      <c r="F179" s="9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9"/>
      <c r="U179" s="9"/>
      <c r="V179" s="8"/>
      <c r="W179" s="8"/>
      <c r="X179" s="8"/>
      <c r="Y179" s="8"/>
      <c r="Z179" s="12"/>
      <c r="AA179" s="8"/>
      <c r="AB179" s="8"/>
      <c r="AC179" s="8"/>
      <c r="AD179" s="12"/>
      <c r="AE179" s="8"/>
      <c r="AF179" s="8"/>
      <c r="AG179" s="8"/>
      <c r="AH179" s="13"/>
      <c r="AI179" s="25"/>
      <c r="AJ179" s="14"/>
      <c r="AK179" s="15"/>
    </row>
    <row r="180" spans="1:37" ht="30" customHeight="1">
      <c r="A180" s="7"/>
      <c r="B180" s="8"/>
      <c r="C180" s="8"/>
      <c r="D180" s="8"/>
      <c r="E180" s="8"/>
      <c r="F180" s="9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9"/>
      <c r="U180" s="9"/>
      <c r="V180" s="8"/>
      <c r="W180" s="8"/>
      <c r="X180" s="8"/>
      <c r="Y180" s="8"/>
      <c r="Z180" s="12"/>
      <c r="AA180" s="8"/>
      <c r="AB180" s="8"/>
      <c r="AC180" s="8"/>
      <c r="AD180" s="12"/>
      <c r="AE180" s="8"/>
      <c r="AF180" s="8"/>
      <c r="AG180" s="8"/>
      <c r="AH180" s="13"/>
      <c r="AI180" s="25"/>
      <c r="AJ180" s="14"/>
      <c r="AK180" s="15"/>
    </row>
    <row r="181" spans="1:37" ht="30" customHeight="1">
      <c r="A181" s="7"/>
      <c r="B181" s="8"/>
      <c r="C181" s="8"/>
      <c r="D181" s="8"/>
      <c r="E181" s="8"/>
      <c r="F181" s="9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9"/>
      <c r="U181" s="9"/>
      <c r="V181" s="8"/>
      <c r="W181" s="8"/>
      <c r="X181" s="8"/>
      <c r="Y181" s="8"/>
      <c r="Z181" s="12"/>
      <c r="AA181" s="8"/>
      <c r="AB181" s="8"/>
      <c r="AC181" s="8"/>
      <c r="AD181" s="12"/>
      <c r="AE181" s="8"/>
      <c r="AF181" s="8"/>
      <c r="AG181" s="8"/>
      <c r="AH181" s="13"/>
      <c r="AI181" s="25"/>
      <c r="AJ181" s="14"/>
      <c r="AK181" s="15"/>
    </row>
    <row r="182" spans="1:37" ht="30" customHeight="1">
      <c r="A182" s="7"/>
      <c r="B182" s="8"/>
      <c r="C182" s="8"/>
      <c r="D182" s="8"/>
      <c r="E182" s="8"/>
      <c r="F182" s="9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9"/>
      <c r="U182" s="9"/>
      <c r="V182" s="8"/>
      <c r="W182" s="8"/>
      <c r="X182" s="8"/>
      <c r="Y182" s="8"/>
      <c r="Z182" s="12"/>
      <c r="AA182" s="8"/>
      <c r="AB182" s="8"/>
      <c r="AC182" s="8"/>
      <c r="AD182" s="12"/>
      <c r="AE182" s="8"/>
      <c r="AF182" s="8"/>
      <c r="AG182" s="8"/>
      <c r="AH182" s="13"/>
      <c r="AI182" s="25"/>
      <c r="AJ182" s="14"/>
      <c r="AK182" s="15"/>
    </row>
    <row r="183" spans="1:37" ht="30" customHeight="1">
      <c r="A183" s="7"/>
      <c r="B183" s="8"/>
      <c r="C183" s="8"/>
      <c r="D183" s="8"/>
      <c r="E183" s="8"/>
      <c r="F183" s="9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9"/>
      <c r="U183" s="9"/>
      <c r="V183" s="8"/>
      <c r="W183" s="8"/>
      <c r="X183" s="8"/>
      <c r="Y183" s="8"/>
      <c r="Z183" s="12"/>
      <c r="AA183" s="8"/>
      <c r="AB183" s="8"/>
      <c r="AC183" s="8"/>
      <c r="AD183" s="12"/>
      <c r="AE183" s="8"/>
      <c r="AF183" s="8"/>
      <c r="AG183" s="8"/>
      <c r="AH183" s="13"/>
      <c r="AI183" s="25"/>
      <c r="AJ183" s="14"/>
      <c r="AK183" s="15"/>
    </row>
    <row r="184" spans="1:37" ht="30" customHeight="1">
      <c r="A184" s="7"/>
      <c r="B184" s="8"/>
      <c r="C184" s="8"/>
      <c r="D184" s="8"/>
      <c r="E184" s="8"/>
      <c r="F184" s="9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9"/>
      <c r="U184" s="9"/>
      <c r="V184" s="8"/>
      <c r="W184" s="8"/>
      <c r="X184" s="8"/>
      <c r="Y184" s="8"/>
      <c r="Z184" s="12"/>
      <c r="AA184" s="8"/>
      <c r="AB184" s="8"/>
      <c r="AC184" s="8"/>
      <c r="AD184" s="12"/>
      <c r="AE184" s="8"/>
      <c r="AF184" s="8"/>
      <c r="AG184" s="8"/>
      <c r="AH184" s="13"/>
      <c r="AI184" s="25"/>
      <c r="AJ184" s="15"/>
      <c r="AK184" s="15"/>
    </row>
    <row r="185" spans="1:37" ht="30" customHeight="1">
      <c r="A185" s="7"/>
      <c r="B185" s="8"/>
      <c r="C185" s="8"/>
      <c r="D185" s="8"/>
      <c r="E185" s="8"/>
      <c r="F185" s="9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9"/>
      <c r="U185" s="9"/>
      <c r="V185" s="8"/>
      <c r="W185" s="8"/>
      <c r="X185" s="8"/>
      <c r="Y185" s="8"/>
      <c r="Z185" s="12"/>
      <c r="AA185" s="8"/>
      <c r="AB185" s="8"/>
      <c r="AC185" s="8"/>
      <c r="AD185" s="12"/>
      <c r="AE185" s="8"/>
      <c r="AF185" s="8"/>
      <c r="AG185" s="8"/>
      <c r="AH185" s="13"/>
      <c r="AI185" s="25"/>
      <c r="AJ185" s="15"/>
      <c r="AK185" s="15"/>
    </row>
    <row r="186" spans="1:37" ht="30" customHeight="1">
      <c r="A186" s="7"/>
      <c r="B186" s="8"/>
      <c r="C186" s="8"/>
      <c r="D186" s="8"/>
      <c r="E186" s="8"/>
      <c r="F186" s="9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9"/>
      <c r="U186" s="9"/>
      <c r="V186" s="8"/>
      <c r="W186" s="8"/>
      <c r="X186" s="8"/>
      <c r="Y186" s="8"/>
      <c r="Z186" s="12"/>
      <c r="AA186" s="8"/>
      <c r="AB186" s="8"/>
      <c r="AC186" s="8"/>
      <c r="AD186" s="12"/>
      <c r="AE186" s="8"/>
      <c r="AF186" s="8"/>
      <c r="AG186" s="8"/>
      <c r="AH186" s="13"/>
      <c r="AI186" s="25"/>
      <c r="AJ186" s="15"/>
      <c r="AK186" s="15"/>
    </row>
    <row r="187" spans="1:37" ht="30" customHeight="1">
      <c r="A187" s="7"/>
      <c r="B187" s="8"/>
      <c r="C187" s="8"/>
      <c r="D187" s="8"/>
      <c r="E187" s="8"/>
      <c r="F187" s="9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9"/>
      <c r="U187" s="9"/>
      <c r="V187" s="8"/>
      <c r="W187" s="8"/>
      <c r="X187" s="8"/>
      <c r="Y187" s="8"/>
      <c r="Z187" s="12"/>
      <c r="AA187" s="8"/>
      <c r="AB187" s="8"/>
      <c r="AC187" s="8"/>
      <c r="AD187" s="12"/>
      <c r="AE187" s="8"/>
      <c r="AF187" s="8"/>
      <c r="AG187" s="8"/>
      <c r="AH187" s="13"/>
      <c r="AI187" s="25"/>
      <c r="AJ187" s="15"/>
      <c r="AK187" s="15"/>
    </row>
    <row r="188" spans="1:37" ht="30" customHeight="1">
      <c r="A188" s="7"/>
      <c r="B188" s="8"/>
      <c r="C188" s="8"/>
      <c r="D188" s="8"/>
      <c r="E188" s="8"/>
      <c r="F188" s="9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9"/>
      <c r="U188" s="9"/>
      <c r="V188" s="8"/>
      <c r="W188" s="8"/>
      <c r="X188" s="8"/>
      <c r="Y188" s="8"/>
      <c r="Z188" s="12"/>
      <c r="AA188" s="8"/>
      <c r="AB188" s="8"/>
      <c r="AC188" s="8"/>
      <c r="AD188" s="12"/>
      <c r="AE188" s="8"/>
      <c r="AF188" s="8"/>
      <c r="AG188" s="8"/>
      <c r="AH188" s="13"/>
      <c r="AI188" s="25"/>
      <c r="AJ188" s="14"/>
      <c r="AK188" s="15"/>
    </row>
    <row r="189" spans="1:37" ht="30" customHeight="1">
      <c r="A189" s="7"/>
      <c r="B189" s="8"/>
      <c r="C189" s="8"/>
      <c r="D189" s="8"/>
      <c r="E189" s="8"/>
      <c r="F189" s="9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9"/>
      <c r="U189" s="9"/>
      <c r="V189" s="8"/>
      <c r="W189" s="8"/>
      <c r="X189" s="8"/>
      <c r="Y189" s="8"/>
      <c r="Z189" s="12"/>
      <c r="AA189" s="8"/>
      <c r="AB189" s="8"/>
      <c r="AC189" s="8"/>
      <c r="AD189" s="12"/>
      <c r="AE189" s="8"/>
      <c r="AF189" s="8"/>
      <c r="AG189" s="8"/>
      <c r="AH189" s="13"/>
      <c r="AI189" s="25"/>
      <c r="AJ189" s="14"/>
      <c r="AK189" s="15"/>
    </row>
    <row r="190" spans="1:37" ht="30" customHeight="1">
      <c r="A190" s="7"/>
      <c r="B190" s="8"/>
      <c r="C190" s="8"/>
      <c r="D190" s="8"/>
      <c r="E190" s="8"/>
      <c r="F190" s="9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9"/>
      <c r="U190" s="9"/>
      <c r="V190" s="8"/>
      <c r="W190" s="8"/>
      <c r="X190" s="8"/>
      <c r="Y190" s="8"/>
      <c r="Z190" s="12"/>
      <c r="AA190" s="8"/>
      <c r="AB190" s="8"/>
      <c r="AC190" s="8"/>
      <c r="AD190" s="12"/>
      <c r="AE190" s="8"/>
      <c r="AF190" s="8"/>
      <c r="AG190" s="8"/>
      <c r="AH190" s="13"/>
      <c r="AI190" s="25"/>
      <c r="AJ190" s="14"/>
      <c r="AK190" s="15"/>
    </row>
  </sheetData>
  <autoFilter ref="A1:AL190" xr:uid="{00000000-0009-0000-0000-000000000000}"/>
  <conditionalFormatting sqref="A1:A190">
    <cfRule type="duplicateValues" dxfId="5" priority="6"/>
  </conditionalFormatting>
  <conditionalFormatting sqref="A1:A190">
    <cfRule type="duplicateValues" dxfId="4" priority="5"/>
  </conditionalFormatting>
  <conditionalFormatting sqref="A2:A165">
    <cfRule type="duplicateValues" dxfId="3" priority="2"/>
    <cfRule type="duplicateValues" dxfId="2" priority="3"/>
    <cfRule type="duplicateValues" dxfId="1" priority="4"/>
  </conditionalFormatting>
  <conditionalFormatting sqref="A166:A190">
    <cfRule type="duplicateValues" dxfId="0" priority="1"/>
  </conditionalFormatting>
  <hyperlinks>
    <hyperlink ref="AC2" r:id="rId1" xr:uid="{BA342224-E6A3-4B31-B5DC-DF1D6852CB0C}"/>
    <hyperlink ref="AC3" r:id="rId2" xr:uid="{E41BC6DF-8DBB-4922-9FA3-1893EAAA2608}"/>
    <hyperlink ref="AC4" r:id="rId3" xr:uid="{9C1C03A7-0DBE-4415-82B2-62EF2552F3A6}"/>
    <hyperlink ref="AC5" r:id="rId4" xr:uid="{6FFF2BF6-4093-4234-9E24-60400878AD5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359"/>
  <sheetViews>
    <sheetView topLeftCell="A3" workbookViewId="0" xr3:uid="{958C4451-9541-5A59-BF78-D2F731DF1C81}">
      <selection activeCell="C22" sqref="C22"/>
    </sheetView>
  </sheetViews>
  <sheetFormatPr defaultColWidth="11.42578125" defaultRowHeight="15"/>
  <cols>
    <col min="1" max="1" width="36.140625" customWidth="1"/>
    <col min="2" max="2" width="31" customWidth="1"/>
    <col min="3" max="3" width="17.42578125" customWidth="1"/>
    <col min="4" max="4" width="13.28515625" customWidth="1"/>
    <col min="5" max="5" width="27.85546875" customWidth="1"/>
  </cols>
  <sheetData>
    <row r="1" spans="1:8">
      <c r="A1" s="26" t="s">
        <v>107</v>
      </c>
      <c r="B1" s="42"/>
      <c r="C1" s="27"/>
      <c r="D1" s="27"/>
      <c r="E1" s="27"/>
      <c r="F1" s="27"/>
      <c r="G1" s="27"/>
      <c r="H1" s="27"/>
    </row>
    <row r="2" spans="1:8">
      <c r="A2" s="26" t="s">
        <v>108</v>
      </c>
      <c r="B2" s="28"/>
      <c r="C2" s="27"/>
      <c r="D2" s="27"/>
      <c r="E2" s="27"/>
      <c r="F2" s="27"/>
      <c r="G2" s="27"/>
      <c r="H2" s="27"/>
    </row>
    <row r="3" spans="1:8">
      <c r="A3" s="26" t="s">
        <v>109</v>
      </c>
      <c r="B3" s="66" t="s">
        <v>110</v>
      </c>
      <c r="C3" s="67"/>
      <c r="D3" s="67"/>
      <c r="E3" s="67"/>
      <c r="F3" s="67"/>
      <c r="G3" s="67"/>
      <c r="H3" s="68"/>
    </row>
    <row r="4" spans="1:8">
      <c r="A4" s="26" t="s">
        <v>111</v>
      </c>
      <c r="B4" s="69" t="s">
        <v>110</v>
      </c>
      <c r="C4" s="70"/>
      <c r="D4" s="70"/>
      <c r="E4" s="70"/>
      <c r="F4" s="70"/>
      <c r="G4" s="70"/>
      <c r="H4" s="70"/>
    </row>
    <row r="5" spans="1:8">
      <c r="A5" s="26" t="s">
        <v>112</v>
      </c>
      <c r="B5" s="42"/>
      <c r="C5" s="29"/>
      <c r="D5" s="29"/>
      <c r="E5" s="29"/>
      <c r="F5" s="29"/>
      <c r="G5" s="29"/>
      <c r="H5" s="29"/>
    </row>
    <row r="6" spans="1:8">
      <c r="A6" s="26" t="s">
        <v>113</v>
      </c>
      <c r="B6" s="30"/>
      <c r="C6" s="27"/>
      <c r="D6" s="27"/>
      <c r="E6" s="27"/>
      <c r="F6" s="27"/>
      <c r="G6" s="27"/>
      <c r="H6" s="27"/>
    </row>
    <row r="7" spans="1:8">
      <c r="A7" s="26" t="s">
        <v>114</v>
      </c>
      <c r="B7" s="42"/>
      <c r="C7" s="27"/>
      <c r="D7" s="27"/>
      <c r="E7" s="27"/>
      <c r="F7" s="27"/>
      <c r="G7" s="27"/>
      <c r="H7" s="27"/>
    </row>
    <row r="10" spans="1:8">
      <c r="A10" s="59" t="s">
        <v>42</v>
      </c>
      <c r="B10" s="60"/>
      <c r="C10" s="60"/>
      <c r="D10" s="61"/>
    </row>
    <row r="11" spans="1:8">
      <c r="A11" s="59" t="s">
        <v>115</v>
      </c>
      <c r="B11" s="61"/>
      <c r="C11" s="62">
        <v>0</v>
      </c>
      <c r="D11" s="63"/>
    </row>
    <row r="12" spans="1:8" ht="15.75" thickBot="1">
      <c r="A12" s="64" t="s">
        <v>116</v>
      </c>
      <c r="B12" s="65"/>
      <c r="C12" s="41">
        <f>C39</f>
        <v>18</v>
      </c>
      <c r="D12" s="31">
        <v>1</v>
      </c>
    </row>
    <row r="13" spans="1:8">
      <c r="A13" s="32" t="s">
        <v>117</v>
      </c>
      <c r="B13" s="32" t="s">
        <v>118</v>
      </c>
      <c r="C13" s="33" t="s">
        <v>119</v>
      </c>
      <c r="D13" s="34" t="s">
        <v>120</v>
      </c>
      <c r="E13" s="34" t="s">
        <v>121</v>
      </c>
    </row>
    <row r="14" spans="1:8">
      <c r="A14" s="54" t="s">
        <v>122</v>
      </c>
      <c r="B14" s="35" t="s">
        <v>123</v>
      </c>
      <c r="C14" s="36">
        <v>2</v>
      </c>
      <c r="D14" s="37">
        <f>C14/C12*D12</f>
        <v>0.1111111111111111</v>
      </c>
      <c r="E14" s="46">
        <f>SUM(D14:D22)</f>
        <v>0.16666666666666666</v>
      </c>
    </row>
    <row r="15" spans="1:8">
      <c r="A15" s="55"/>
      <c r="B15" s="35" t="s">
        <v>124</v>
      </c>
      <c r="C15" s="36">
        <v>0</v>
      </c>
      <c r="D15" s="37">
        <f>C15/C12*D12</f>
        <v>0</v>
      </c>
      <c r="E15" s="47"/>
    </row>
    <row r="16" spans="1:8" ht="25.5">
      <c r="A16" s="55"/>
      <c r="B16" s="35" t="s">
        <v>105</v>
      </c>
      <c r="C16" s="36">
        <v>1</v>
      </c>
      <c r="D16" s="37">
        <f>C16/C12*D12</f>
        <v>5.5555555555555552E-2</v>
      </c>
      <c r="E16" s="47"/>
    </row>
    <row r="17" spans="1:5">
      <c r="A17" s="55"/>
      <c r="B17" s="35" t="s">
        <v>125</v>
      </c>
      <c r="C17" s="36">
        <v>0</v>
      </c>
      <c r="D17" s="37">
        <f>C17/C12*D12</f>
        <v>0</v>
      </c>
      <c r="E17" s="47"/>
    </row>
    <row r="18" spans="1:5">
      <c r="A18" s="55"/>
      <c r="B18" s="35" t="s">
        <v>126</v>
      </c>
      <c r="C18" s="36">
        <v>0</v>
      </c>
      <c r="D18" s="37">
        <f>C18/C12*D12</f>
        <v>0</v>
      </c>
      <c r="E18" s="47"/>
    </row>
    <row r="19" spans="1:5">
      <c r="A19" s="55"/>
      <c r="B19" s="35" t="s">
        <v>127</v>
      </c>
      <c r="C19" s="36">
        <v>0</v>
      </c>
      <c r="D19" s="37">
        <f>C19/C12*D12</f>
        <v>0</v>
      </c>
      <c r="E19" s="47"/>
    </row>
    <row r="20" spans="1:5">
      <c r="A20" s="55"/>
      <c r="B20" s="35" t="s">
        <v>128</v>
      </c>
      <c r="C20" s="36">
        <v>0</v>
      </c>
      <c r="D20" s="37">
        <f>C20/C12*D12</f>
        <v>0</v>
      </c>
      <c r="E20" s="47"/>
    </row>
    <row r="21" spans="1:5">
      <c r="A21" s="55"/>
      <c r="B21" s="35" t="s">
        <v>129</v>
      </c>
      <c r="C21" s="36">
        <v>0</v>
      </c>
      <c r="D21" s="37">
        <f>C21/C12*D12</f>
        <v>0</v>
      </c>
      <c r="E21" s="47"/>
    </row>
    <row r="22" spans="1:5" ht="25.5">
      <c r="A22" s="56"/>
      <c r="B22" s="35" t="s">
        <v>130</v>
      </c>
      <c r="C22" s="36">
        <v>0</v>
      </c>
      <c r="D22" s="37">
        <f>C22/C12*D12</f>
        <v>0</v>
      </c>
      <c r="E22" s="48"/>
    </row>
    <row r="23" spans="1:5" ht="38.25">
      <c r="A23" s="49" t="s">
        <v>88</v>
      </c>
      <c r="B23" s="35" t="s">
        <v>131</v>
      </c>
      <c r="C23" s="36">
        <v>1</v>
      </c>
      <c r="D23" s="37">
        <f>C23/C12*D12</f>
        <v>5.5555555555555552E-2</v>
      </c>
      <c r="E23" s="46">
        <f>SUM(D23:D25)</f>
        <v>0.16666666666666666</v>
      </c>
    </row>
    <row r="24" spans="1:5" ht="25.5">
      <c r="A24" s="50"/>
      <c r="B24" s="35" t="s">
        <v>132</v>
      </c>
      <c r="C24" s="36">
        <v>0</v>
      </c>
      <c r="D24" s="37">
        <f>C24/C12*D12</f>
        <v>0</v>
      </c>
      <c r="E24" s="47"/>
    </row>
    <row r="25" spans="1:5">
      <c r="A25" s="51"/>
      <c r="B25" s="35" t="s">
        <v>133</v>
      </c>
      <c r="C25" s="36">
        <v>2</v>
      </c>
      <c r="D25" s="37">
        <f>C25/C12*D12</f>
        <v>0.1111111111111111</v>
      </c>
      <c r="E25" s="48"/>
    </row>
    <row r="26" spans="1:5">
      <c r="A26" s="57" t="s">
        <v>64</v>
      </c>
      <c r="B26" s="35" t="s">
        <v>134</v>
      </c>
      <c r="C26" s="36">
        <v>0</v>
      </c>
      <c r="D26" s="37">
        <f>C26/C12*D12</f>
        <v>0</v>
      </c>
      <c r="E26" s="46">
        <f>SUM(D26:D27)</f>
        <v>0.16666666666666666</v>
      </c>
    </row>
    <row r="27" spans="1:5" ht="38.25" customHeight="1">
      <c r="A27" s="58"/>
      <c r="B27" s="35" t="s">
        <v>63</v>
      </c>
      <c r="C27" s="36">
        <v>3</v>
      </c>
      <c r="D27" s="37">
        <f>C27/C12*D12</f>
        <v>0.16666666666666666</v>
      </c>
      <c r="E27" s="48"/>
    </row>
    <row r="28" spans="1:5" ht="25.5" customHeight="1">
      <c r="A28" s="43" t="s">
        <v>78</v>
      </c>
      <c r="B28" s="35" t="s">
        <v>98</v>
      </c>
      <c r="C28" s="36">
        <v>7</v>
      </c>
      <c r="D28" s="37">
        <f>C28/C12*D12</f>
        <v>0.3888888888888889</v>
      </c>
      <c r="E28" s="46">
        <f>SUM(D28:D31)</f>
        <v>0.44444444444444442</v>
      </c>
    </row>
    <row r="29" spans="1:5" ht="36.75" customHeight="1">
      <c r="A29" s="44"/>
      <c r="B29" s="35" t="s">
        <v>135</v>
      </c>
      <c r="C29" s="36">
        <v>0</v>
      </c>
      <c r="D29" s="37">
        <f>C29/C12*D12</f>
        <v>0</v>
      </c>
      <c r="E29" s="47"/>
    </row>
    <row r="30" spans="1:5">
      <c r="A30" s="44"/>
      <c r="B30" s="35" t="s">
        <v>136</v>
      </c>
      <c r="C30" s="36">
        <v>0</v>
      </c>
      <c r="D30" s="37">
        <f>C30/C12*D12</f>
        <v>0</v>
      </c>
      <c r="E30" s="47"/>
    </row>
    <row r="31" spans="1:5" ht="30" customHeight="1">
      <c r="A31" s="45"/>
      <c r="B31" s="35" t="s">
        <v>77</v>
      </c>
      <c r="C31" s="36">
        <v>1</v>
      </c>
      <c r="D31" s="37">
        <f>C31/C12*D12</f>
        <v>5.5555555555555552E-2</v>
      </c>
      <c r="E31" s="48"/>
    </row>
    <row r="32" spans="1:5" ht="42.75" customHeight="1">
      <c r="A32" s="40" t="s">
        <v>137</v>
      </c>
      <c r="B32" s="35" t="s">
        <v>138</v>
      </c>
      <c r="C32" s="36">
        <v>0</v>
      </c>
      <c r="D32" s="37">
        <f>C32/C12*D12</f>
        <v>0</v>
      </c>
      <c r="E32" s="39">
        <f>SUM(D32)</f>
        <v>0</v>
      </c>
    </row>
    <row r="33" spans="1:5" ht="27" customHeight="1">
      <c r="A33" s="49" t="s">
        <v>139</v>
      </c>
      <c r="B33" s="35" t="s">
        <v>140</v>
      </c>
      <c r="C33" s="36">
        <v>1</v>
      </c>
      <c r="D33" s="37">
        <f>C33/C12*D12</f>
        <v>5.5555555555555552E-2</v>
      </c>
      <c r="E33" s="46">
        <f>SUM(D33:D38)</f>
        <v>5.5555555555555552E-2</v>
      </c>
    </row>
    <row r="34" spans="1:5" ht="18.75" customHeight="1">
      <c r="A34" s="50"/>
      <c r="B34" s="35" t="s">
        <v>141</v>
      </c>
      <c r="C34" s="36">
        <v>0</v>
      </c>
      <c r="D34" s="37">
        <f>C34/C12*D12</f>
        <v>0</v>
      </c>
      <c r="E34" s="47"/>
    </row>
    <row r="35" spans="1:5">
      <c r="A35" s="50"/>
      <c r="B35" s="35" t="s">
        <v>142</v>
      </c>
      <c r="C35" s="36">
        <v>0</v>
      </c>
      <c r="D35" s="37">
        <f>C35/C12*D12</f>
        <v>0</v>
      </c>
      <c r="E35" s="47"/>
    </row>
    <row r="36" spans="1:5" ht="21.75" customHeight="1">
      <c r="A36" s="50"/>
      <c r="B36" s="35" t="s">
        <v>143</v>
      </c>
      <c r="C36" s="36">
        <v>0</v>
      </c>
      <c r="D36" s="37">
        <f>C36/C12*D12</f>
        <v>0</v>
      </c>
      <c r="E36" s="47"/>
    </row>
    <row r="37" spans="1:5" ht="21.75" customHeight="1">
      <c r="A37" s="50"/>
      <c r="B37" s="35" t="s">
        <v>144</v>
      </c>
      <c r="C37" s="36">
        <v>0</v>
      </c>
      <c r="D37" s="37">
        <f>C37/C12*D12</f>
        <v>0</v>
      </c>
      <c r="E37" s="47"/>
    </row>
    <row r="38" spans="1:5" ht="16.5" customHeight="1">
      <c r="A38" s="51"/>
      <c r="B38" s="35" t="s">
        <v>145</v>
      </c>
      <c r="C38" s="36">
        <v>0</v>
      </c>
      <c r="D38" s="37">
        <f>C38/C12*D12</f>
        <v>0</v>
      </c>
      <c r="E38" s="48"/>
    </row>
    <row r="39" spans="1:5">
      <c r="A39" s="52" t="s">
        <v>146</v>
      </c>
      <c r="B39" s="53"/>
      <c r="C39" s="38">
        <f>SUM(C14:C38)</f>
        <v>18</v>
      </c>
      <c r="D39" s="37">
        <f>+C39/C12*D12</f>
        <v>1</v>
      </c>
      <c r="E39" s="39">
        <f>SUM(E14:E33)</f>
        <v>1</v>
      </c>
    </row>
    <row r="42" spans="1:5">
      <c r="A42" s="59" t="s">
        <v>147</v>
      </c>
      <c r="B42" s="60"/>
      <c r="C42" s="60"/>
      <c r="D42" s="61"/>
    </row>
    <row r="43" spans="1:5">
      <c r="A43" s="59" t="s">
        <v>115</v>
      </c>
      <c r="B43" s="61"/>
      <c r="C43" s="62">
        <v>0</v>
      </c>
      <c r="D43" s="63"/>
    </row>
    <row r="44" spans="1:5" ht="15.75" thickBot="1">
      <c r="A44" s="64" t="s">
        <v>116</v>
      </c>
      <c r="B44" s="65"/>
      <c r="C44" s="41">
        <f>C71</f>
        <v>42</v>
      </c>
      <c r="D44" s="31">
        <v>1</v>
      </c>
    </row>
    <row r="45" spans="1:5">
      <c r="A45" s="32" t="s">
        <v>117</v>
      </c>
      <c r="B45" s="32" t="s">
        <v>118</v>
      </c>
      <c r="C45" s="33" t="s">
        <v>119</v>
      </c>
      <c r="D45" s="34" t="s">
        <v>120</v>
      </c>
      <c r="E45" s="34" t="s">
        <v>121</v>
      </c>
    </row>
    <row r="46" spans="1:5">
      <c r="A46" s="54" t="s">
        <v>122</v>
      </c>
      <c r="B46" s="35" t="s">
        <v>123</v>
      </c>
      <c r="C46" s="36">
        <v>0</v>
      </c>
      <c r="D46" s="37">
        <f>C46/C44*D44</f>
        <v>0</v>
      </c>
      <c r="E46" s="46">
        <f>SUM(D46:D54)</f>
        <v>2.3809523809523808E-2</v>
      </c>
    </row>
    <row r="47" spans="1:5" ht="21" customHeight="1">
      <c r="A47" s="55"/>
      <c r="B47" s="35" t="s">
        <v>124</v>
      </c>
      <c r="C47" s="36">
        <v>0</v>
      </c>
      <c r="D47" s="37">
        <f>C47/C44*D44</f>
        <v>0</v>
      </c>
      <c r="E47" s="47"/>
    </row>
    <row r="48" spans="1:5" ht="23.25" customHeight="1">
      <c r="A48" s="55"/>
      <c r="B48" s="35" t="s">
        <v>105</v>
      </c>
      <c r="C48" s="36">
        <v>0</v>
      </c>
      <c r="D48" s="37">
        <f>C48/C44*D44</f>
        <v>0</v>
      </c>
      <c r="E48" s="47"/>
    </row>
    <row r="49" spans="1:5" ht="29.25" customHeight="1">
      <c r="A49" s="55"/>
      <c r="B49" s="35" t="s">
        <v>125</v>
      </c>
      <c r="C49" s="36">
        <v>0</v>
      </c>
      <c r="D49" s="37">
        <f>C49/C44*D44</f>
        <v>0</v>
      </c>
      <c r="E49" s="47"/>
    </row>
    <row r="50" spans="1:5" ht="21" customHeight="1">
      <c r="A50" s="55"/>
      <c r="B50" s="35" t="s">
        <v>126</v>
      </c>
      <c r="C50" s="36">
        <v>0</v>
      </c>
      <c r="D50" s="37">
        <f>C50/C44*D44</f>
        <v>0</v>
      </c>
      <c r="E50" s="47"/>
    </row>
    <row r="51" spans="1:5" ht="17.25" customHeight="1">
      <c r="A51" s="55"/>
      <c r="B51" s="35" t="s">
        <v>127</v>
      </c>
      <c r="C51" s="36">
        <v>0</v>
      </c>
      <c r="D51" s="37">
        <f>C51/C44*D44</f>
        <v>0</v>
      </c>
      <c r="E51" s="47"/>
    </row>
    <row r="52" spans="1:5" ht="21" customHeight="1">
      <c r="A52" s="55"/>
      <c r="B52" s="35" t="s">
        <v>128</v>
      </c>
      <c r="C52" s="36">
        <v>0</v>
      </c>
      <c r="D52" s="37">
        <f>C52/C44*D44</f>
        <v>0</v>
      </c>
      <c r="E52" s="47"/>
    </row>
    <row r="53" spans="1:5" ht="21" customHeight="1">
      <c r="A53" s="55"/>
      <c r="B53" s="35" t="s">
        <v>129</v>
      </c>
      <c r="C53" s="36">
        <v>0</v>
      </c>
      <c r="D53" s="37">
        <f>C53/C44*D44</f>
        <v>0</v>
      </c>
      <c r="E53" s="47"/>
    </row>
    <row r="54" spans="1:5" ht="27" customHeight="1">
      <c r="A54" s="56"/>
      <c r="B54" s="35" t="s">
        <v>130</v>
      </c>
      <c r="C54" s="36">
        <v>1</v>
      </c>
      <c r="D54" s="37">
        <f>C54/C44*D44</f>
        <v>2.3809523809523808E-2</v>
      </c>
      <c r="E54" s="48"/>
    </row>
    <row r="55" spans="1:5" ht="44.25" customHeight="1">
      <c r="A55" s="49" t="s">
        <v>88</v>
      </c>
      <c r="B55" s="35" t="s">
        <v>131</v>
      </c>
      <c r="C55" s="36">
        <v>0</v>
      </c>
      <c r="D55" s="37">
        <f>C55/C44*D44</f>
        <v>0</v>
      </c>
      <c r="E55" s="46">
        <f>SUM(D55:D57)</f>
        <v>4.7619047619047616E-2</v>
      </c>
    </row>
    <row r="56" spans="1:5" ht="31.5" customHeight="1">
      <c r="A56" s="50"/>
      <c r="B56" s="35" t="s">
        <v>132</v>
      </c>
      <c r="C56" s="36">
        <v>0</v>
      </c>
      <c r="D56" s="37">
        <f>C56/C44*D44</f>
        <v>0</v>
      </c>
      <c r="E56" s="47"/>
    </row>
    <row r="57" spans="1:5" ht="21.75" customHeight="1">
      <c r="A57" s="51"/>
      <c r="B57" s="35" t="s">
        <v>133</v>
      </c>
      <c r="C57" s="36">
        <v>2</v>
      </c>
      <c r="D57" s="37">
        <f>C57/C44*D44</f>
        <v>4.7619047619047616E-2</v>
      </c>
      <c r="E57" s="48"/>
    </row>
    <row r="58" spans="1:5">
      <c r="A58" s="57" t="s">
        <v>64</v>
      </c>
      <c r="B58" s="35" t="s">
        <v>134</v>
      </c>
      <c r="C58" s="36">
        <v>0</v>
      </c>
      <c r="D58" s="37">
        <f>C58/C44*D44</f>
        <v>0</v>
      </c>
      <c r="E58" s="46">
        <f>SUM(D58:D59)</f>
        <v>0.2857142857142857</v>
      </c>
    </row>
    <row r="59" spans="1:5" ht="33.75" customHeight="1">
      <c r="A59" s="58"/>
      <c r="B59" s="35" t="s">
        <v>63</v>
      </c>
      <c r="C59" s="36">
        <v>12</v>
      </c>
      <c r="D59" s="37">
        <f>C59/C44*D44</f>
        <v>0.2857142857142857</v>
      </c>
      <c r="E59" s="48"/>
    </row>
    <row r="60" spans="1:5" ht="30" customHeight="1">
      <c r="A60" s="43" t="s">
        <v>78</v>
      </c>
      <c r="B60" s="35" t="s">
        <v>98</v>
      </c>
      <c r="C60" s="36">
        <v>6</v>
      </c>
      <c r="D60" s="37">
        <f>C60/C44*D44</f>
        <v>0.14285714285714285</v>
      </c>
      <c r="E60" s="46">
        <f>SUM(D60:D63)</f>
        <v>0.16666666666666666</v>
      </c>
    </row>
    <row r="61" spans="1:5" ht="24.75" customHeight="1">
      <c r="A61" s="44"/>
      <c r="B61" s="35" t="s">
        <v>135</v>
      </c>
      <c r="C61" s="36">
        <v>0</v>
      </c>
      <c r="D61" s="37">
        <f>C61/C44*D44</f>
        <v>0</v>
      </c>
      <c r="E61" s="47"/>
    </row>
    <row r="62" spans="1:5">
      <c r="A62" s="44"/>
      <c r="B62" s="35" t="s">
        <v>136</v>
      </c>
      <c r="C62" s="36">
        <v>0</v>
      </c>
      <c r="D62" s="37">
        <f>C62/C44*D44</f>
        <v>0</v>
      </c>
      <c r="E62" s="47"/>
    </row>
    <row r="63" spans="1:5" ht="36.75" customHeight="1">
      <c r="A63" s="45"/>
      <c r="B63" s="35" t="s">
        <v>77</v>
      </c>
      <c r="C63" s="36">
        <v>1</v>
      </c>
      <c r="D63" s="37">
        <f>C63/C44*D44</f>
        <v>2.3809523809523808E-2</v>
      </c>
      <c r="E63" s="48"/>
    </row>
    <row r="64" spans="1:5" ht="33.75" customHeight="1">
      <c r="A64" s="40" t="s">
        <v>137</v>
      </c>
      <c r="B64" s="35" t="s">
        <v>138</v>
      </c>
      <c r="C64" s="36">
        <v>17</v>
      </c>
      <c r="D64" s="37">
        <f>C64/C44*D44</f>
        <v>0.40476190476190477</v>
      </c>
      <c r="E64" s="39">
        <f>SUM(D64)</f>
        <v>0.40476190476190477</v>
      </c>
    </row>
    <row r="65" spans="1:5" ht="21" customHeight="1">
      <c r="A65" s="49" t="s">
        <v>139</v>
      </c>
      <c r="B65" s="35" t="s">
        <v>140</v>
      </c>
      <c r="C65" s="36">
        <v>1</v>
      </c>
      <c r="D65" s="37">
        <f>C65/C44*D44</f>
        <v>2.3809523809523808E-2</v>
      </c>
      <c r="E65" s="46">
        <f>SUM(D65:D70)</f>
        <v>7.1428571428571425E-2</v>
      </c>
    </row>
    <row r="66" spans="1:5">
      <c r="A66" s="50"/>
      <c r="B66" s="35" t="s">
        <v>141</v>
      </c>
      <c r="C66" s="36">
        <v>0</v>
      </c>
      <c r="D66" s="37">
        <f>C66/C44*D44</f>
        <v>0</v>
      </c>
      <c r="E66" s="47"/>
    </row>
    <row r="67" spans="1:5" ht="17.25" customHeight="1">
      <c r="A67" s="50"/>
      <c r="B67" s="35" t="s">
        <v>142</v>
      </c>
      <c r="C67" s="36">
        <v>0</v>
      </c>
      <c r="D67" s="37">
        <f>C67/C44*D44</f>
        <v>0</v>
      </c>
      <c r="E67" s="47"/>
    </row>
    <row r="68" spans="1:5" ht="17.25" customHeight="1">
      <c r="A68" s="50"/>
      <c r="B68" s="35" t="s">
        <v>143</v>
      </c>
      <c r="C68" s="36">
        <v>0</v>
      </c>
      <c r="D68" s="37">
        <f>C68/C44*D44</f>
        <v>0</v>
      </c>
      <c r="E68" s="47"/>
    </row>
    <row r="69" spans="1:5" ht="21.75" customHeight="1">
      <c r="A69" s="50"/>
      <c r="B69" s="35" t="s">
        <v>144</v>
      </c>
      <c r="C69" s="36">
        <v>2</v>
      </c>
      <c r="D69" s="37">
        <f>C69/C44*D44</f>
        <v>4.7619047619047616E-2</v>
      </c>
      <c r="E69" s="47"/>
    </row>
    <row r="70" spans="1:5" ht="19.5" customHeight="1">
      <c r="A70" s="51"/>
      <c r="B70" s="35" t="s">
        <v>145</v>
      </c>
      <c r="C70" s="36">
        <v>0</v>
      </c>
      <c r="D70" s="37">
        <f>C70/C44*D44</f>
        <v>0</v>
      </c>
      <c r="E70" s="48"/>
    </row>
    <row r="71" spans="1:5">
      <c r="A71" s="52" t="s">
        <v>146</v>
      </c>
      <c r="B71" s="53"/>
      <c r="C71" s="38">
        <f>SUM(C46:C70)</f>
        <v>42</v>
      </c>
      <c r="D71" s="37">
        <f>+C71/C44*D44</f>
        <v>1</v>
      </c>
      <c r="E71" s="39">
        <f>SUM(E46:E65)</f>
        <v>0.99999999999999989</v>
      </c>
    </row>
    <row r="74" spans="1:5">
      <c r="A74" s="59" t="s">
        <v>148</v>
      </c>
      <c r="B74" s="60"/>
      <c r="C74" s="60"/>
      <c r="D74" s="61"/>
    </row>
    <row r="75" spans="1:5">
      <c r="A75" s="59" t="s">
        <v>115</v>
      </c>
      <c r="B75" s="61"/>
      <c r="C75" s="62">
        <v>0</v>
      </c>
      <c r="D75" s="63"/>
    </row>
    <row r="76" spans="1:5" ht="15.75" thickBot="1">
      <c r="A76" s="64" t="s">
        <v>116</v>
      </c>
      <c r="B76" s="65"/>
      <c r="C76" s="41">
        <f>C103</f>
        <v>18</v>
      </c>
      <c r="D76" s="31">
        <v>1</v>
      </c>
    </row>
    <row r="77" spans="1:5">
      <c r="A77" s="32" t="s">
        <v>117</v>
      </c>
      <c r="B77" s="32" t="s">
        <v>118</v>
      </c>
      <c r="C77" s="33" t="s">
        <v>119</v>
      </c>
      <c r="D77" s="34" t="s">
        <v>120</v>
      </c>
      <c r="E77" s="34" t="s">
        <v>121</v>
      </c>
    </row>
    <row r="78" spans="1:5">
      <c r="A78" s="54" t="s">
        <v>122</v>
      </c>
      <c r="B78" s="35" t="s">
        <v>123</v>
      </c>
      <c r="C78" s="36">
        <v>0</v>
      </c>
      <c r="D78" s="37">
        <f>C78/C76*D76</f>
        <v>0</v>
      </c>
      <c r="E78" s="46">
        <f>SUM(D78:D86)</f>
        <v>5.5555555555555552E-2</v>
      </c>
    </row>
    <row r="79" spans="1:5">
      <c r="A79" s="55"/>
      <c r="B79" s="35" t="s">
        <v>124</v>
      </c>
      <c r="C79" s="36">
        <v>0</v>
      </c>
      <c r="D79" s="37">
        <f>C79/C76*D76</f>
        <v>0</v>
      </c>
      <c r="E79" s="47"/>
    </row>
    <row r="80" spans="1:5" ht="25.5">
      <c r="A80" s="55"/>
      <c r="B80" s="35" t="s">
        <v>105</v>
      </c>
      <c r="C80" s="36">
        <v>0</v>
      </c>
      <c r="D80" s="37">
        <f>C80/C76*D76</f>
        <v>0</v>
      </c>
      <c r="E80" s="47"/>
    </row>
    <row r="81" spans="1:5">
      <c r="A81" s="55"/>
      <c r="B81" s="35" t="s">
        <v>125</v>
      </c>
      <c r="C81" s="36">
        <v>0</v>
      </c>
      <c r="D81" s="37">
        <f>C81/C76*D76</f>
        <v>0</v>
      </c>
      <c r="E81" s="47"/>
    </row>
    <row r="82" spans="1:5">
      <c r="A82" s="55"/>
      <c r="B82" s="35" t="s">
        <v>126</v>
      </c>
      <c r="C82" s="36">
        <v>0</v>
      </c>
      <c r="D82" s="37">
        <f>C82/C76*D76</f>
        <v>0</v>
      </c>
      <c r="E82" s="47"/>
    </row>
    <row r="83" spans="1:5">
      <c r="A83" s="55"/>
      <c r="B83" s="35" t="s">
        <v>127</v>
      </c>
      <c r="C83" s="36">
        <v>0</v>
      </c>
      <c r="D83" s="37">
        <f>C83/C76*D76</f>
        <v>0</v>
      </c>
      <c r="E83" s="47"/>
    </row>
    <row r="84" spans="1:5">
      <c r="A84" s="55"/>
      <c r="B84" s="35" t="s">
        <v>128</v>
      </c>
      <c r="C84" s="36">
        <v>1</v>
      </c>
      <c r="D84" s="37">
        <f>C84/C76*D76</f>
        <v>5.5555555555555552E-2</v>
      </c>
      <c r="E84" s="47"/>
    </row>
    <row r="85" spans="1:5">
      <c r="A85" s="55"/>
      <c r="B85" s="35" t="s">
        <v>129</v>
      </c>
      <c r="C85" s="36">
        <v>0</v>
      </c>
      <c r="D85" s="37">
        <f>C85/C76*D76</f>
        <v>0</v>
      </c>
      <c r="E85" s="47"/>
    </row>
    <row r="86" spans="1:5" ht="25.5">
      <c r="A86" s="56"/>
      <c r="B86" s="35" t="s">
        <v>130</v>
      </c>
      <c r="C86" s="36">
        <v>0</v>
      </c>
      <c r="D86" s="37">
        <f>C86/C76*D76</f>
        <v>0</v>
      </c>
      <c r="E86" s="48"/>
    </row>
    <row r="87" spans="1:5" ht="38.25">
      <c r="A87" s="49" t="s">
        <v>88</v>
      </c>
      <c r="B87" s="35" t="s">
        <v>131</v>
      </c>
      <c r="C87" s="36">
        <v>4</v>
      </c>
      <c r="D87" s="37">
        <f>C87/C76*D76</f>
        <v>0.22222222222222221</v>
      </c>
      <c r="E87" s="46">
        <f>SUM(D87:D89)</f>
        <v>0.22222222222222221</v>
      </c>
    </row>
    <row r="88" spans="1:5" ht="25.5">
      <c r="A88" s="50"/>
      <c r="B88" s="35" t="s">
        <v>132</v>
      </c>
      <c r="C88" s="36">
        <v>0</v>
      </c>
      <c r="D88" s="37">
        <f>C88/C76*D76</f>
        <v>0</v>
      </c>
      <c r="E88" s="47"/>
    </row>
    <row r="89" spans="1:5">
      <c r="A89" s="51"/>
      <c r="B89" s="35" t="s">
        <v>133</v>
      </c>
      <c r="C89" s="36">
        <v>0</v>
      </c>
      <c r="D89" s="37">
        <f>C89/C76*D76</f>
        <v>0</v>
      </c>
      <c r="E89" s="48"/>
    </row>
    <row r="90" spans="1:5">
      <c r="A90" s="57" t="s">
        <v>64</v>
      </c>
      <c r="B90" s="35" t="s">
        <v>134</v>
      </c>
      <c r="C90" s="36">
        <v>0</v>
      </c>
      <c r="D90" s="37">
        <f>C90/C76*D76</f>
        <v>0</v>
      </c>
      <c r="E90" s="46">
        <f>SUM(D90:D91)</f>
        <v>0.5</v>
      </c>
    </row>
    <row r="91" spans="1:5" ht="25.5">
      <c r="A91" s="58"/>
      <c r="B91" s="35" t="s">
        <v>63</v>
      </c>
      <c r="C91" s="36">
        <v>9</v>
      </c>
      <c r="D91" s="37">
        <f>C91/C76*D76</f>
        <v>0.5</v>
      </c>
      <c r="E91" s="48"/>
    </row>
    <row r="92" spans="1:5">
      <c r="A92" s="43" t="s">
        <v>78</v>
      </c>
      <c r="B92" s="35" t="s">
        <v>98</v>
      </c>
      <c r="C92" s="36">
        <v>2</v>
      </c>
      <c r="D92" s="37">
        <f>C92/C76*D76</f>
        <v>0.1111111111111111</v>
      </c>
      <c r="E92" s="46">
        <f>SUM(D92:D95)</f>
        <v>0.1111111111111111</v>
      </c>
    </row>
    <row r="93" spans="1:5" ht="25.5">
      <c r="A93" s="44"/>
      <c r="B93" s="35" t="s">
        <v>135</v>
      </c>
      <c r="C93" s="36">
        <v>0</v>
      </c>
      <c r="D93" s="37">
        <f>C93/C76*D76</f>
        <v>0</v>
      </c>
      <c r="E93" s="47"/>
    </row>
    <row r="94" spans="1:5">
      <c r="A94" s="44"/>
      <c r="B94" s="35" t="s">
        <v>136</v>
      </c>
      <c r="C94" s="36">
        <v>0</v>
      </c>
      <c r="D94" s="37">
        <f>C94/C76*D76</f>
        <v>0</v>
      </c>
      <c r="E94" s="47"/>
    </row>
    <row r="95" spans="1:5" ht="25.5">
      <c r="A95" s="45"/>
      <c r="B95" s="35" t="s">
        <v>77</v>
      </c>
      <c r="C95" s="36">
        <v>0</v>
      </c>
      <c r="D95" s="37">
        <f>C95/C76*D76</f>
        <v>0</v>
      </c>
      <c r="E95" s="48"/>
    </row>
    <row r="96" spans="1:5" ht="28.5">
      <c r="A96" s="40" t="s">
        <v>137</v>
      </c>
      <c r="B96" s="35" t="s">
        <v>138</v>
      </c>
      <c r="C96" s="36">
        <v>0</v>
      </c>
      <c r="D96" s="37">
        <f>C96/C76*D76</f>
        <v>0</v>
      </c>
      <c r="E96" s="39">
        <f>SUM(D96)</f>
        <v>0</v>
      </c>
    </row>
    <row r="97" spans="1:5">
      <c r="A97" s="49" t="s">
        <v>139</v>
      </c>
      <c r="B97" s="35" t="s">
        <v>140</v>
      </c>
      <c r="C97" s="36">
        <v>2</v>
      </c>
      <c r="D97" s="37">
        <f>C97/C76*D76</f>
        <v>0.1111111111111111</v>
      </c>
      <c r="E97" s="46">
        <f>SUM(D97:D102)</f>
        <v>0.1111111111111111</v>
      </c>
    </row>
    <row r="98" spans="1:5">
      <c r="A98" s="50"/>
      <c r="B98" s="35" t="s">
        <v>141</v>
      </c>
      <c r="C98" s="36">
        <v>0</v>
      </c>
      <c r="D98" s="37">
        <f>C98/C76*D76</f>
        <v>0</v>
      </c>
      <c r="E98" s="47"/>
    </row>
    <row r="99" spans="1:5">
      <c r="A99" s="50"/>
      <c r="B99" s="35" t="s">
        <v>142</v>
      </c>
      <c r="C99" s="36">
        <v>0</v>
      </c>
      <c r="D99" s="37">
        <f>C99/C76*D76</f>
        <v>0</v>
      </c>
      <c r="E99" s="47"/>
    </row>
    <row r="100" spans="1:5">
      <c r="A100" s="50"/>
      <c r="B100" s="35" t="s">
        <v>143</v>
      </c>
      <c r="C100" s="36">
        <v>0</v>
      </c>
      <c r="D100" s="37">
        <f>C100/C76*D76</f>
        <v>0</v>
      </c>
      <c r="E100" s="47"/>
    </row>
    <row r="101" spans="1:5">
      <c r="A101" s="50"/>
      <c r="B101" s="35" t="s">
        <v>144</v>
      </c>
      <c r="C101" s="36">
        <v>0</v>
      </c>
      <c r="D101" s="37">
        <f>C101/C76*D76</f>
        <v>0</v>
      </c>
      <c r="E101" s="47"/>
    </row>
    <row r="102" spans="1:5">
      <c r="A102" s="51"/>
      <c r="B102" s="35" t="s">
        <v>145</v>
      </c>
      <c r="C102" s="36">
        <v>0</v>
      </c>
      <c r="D102" s="37">
        <f>C102/C76*D76</f>
        <v>0</v>
      </c>
      <c r="E102" s="48"/>
    </row>
    <row r="103" spans="1:5">
      <c r="A103" s="52" t="s">
        <v>146</v>
      </c>
      <c r="B103" s="53"/>
      <c r="C103" s="38">
        <f>SUM(C78:C102)</f>
        <v>18</v>
      </c>
      <c r="D103" s="37">
        <f>+C103/C76*D76</f>
        <v>1</v>
      </c>
      <c r="E103" s="39">
        <f>SUM(E78:E97)</f>
        <v>1</v>
      </c>
    </row>
    <row r="106" spans="1:5">
      <c r="A106" s="59" t="s">
        <v>149</v>
      </c>
      <c r="B106" s="60"/>
      <c r="C106" s="60"/>
      <c r="D106" s="61"/>
    </row>
    <row r="107" spans="1:5">
      <c r="A107" s="59" t="s">
        <v>115</v>
      </c>
      <c r="B107" s="61"/>
      <c r="C107" s="62">
        <v>0</v>
      </c>
      <c r="D107" s="63"/>
    </row>
    <row r="108" spans="1:5" ht="15.75" thickBot="1">
      <c r="A108" s="64" t="s">
        <v>116</v>
      </c>
      <c r="B108" s="65"/>
      <c r="C108" s="41">
        <f>C135</f>
        <v>23</v>
      </c>
      <c r="D108" s="31">
        <v>1</v>
      </c>
    </row>
    <row r="109" spans="1:5">
      <c r="A109" s="32" t="s">
        <v>117</v>
      </c>
      <c r="B109" s="32" t="s">
        <v>118</v>
      </c>
      <c r="C109" s="33" t="s">
        <v>119</v>
      </c>
      <c r="D109" s="34" t="s">
        <v>120</v>
      </c>
      <c r="E109" s="34" t="s">
        <v>121</v>
      </c>
    </row>
    <row r="110" spans="1:5">
      <c r="A110" s="54" t="s">
        <v>122</v>
      </c>
      <c r="B110" s="35" t="s">
        <v>123</v>
      </c>
      <c r="C110" s="36">
        <v>0</v>
      </c>
      <c r="D110" s="37">
        <f>C110/C108*D108</f>
        <v>0</v>
      </c>
      <c r="E110" s="46">
        <f>SUM(D110:D118)</f>
        <v>4.3478260869565216E-2</v>
      </c>
    </row>
    <row r="111" spans="1:5">
      <c r="A111" s="55"/>
      <c r="B111" s="35" t="s">
        <v>124</v>
      </c>
      <c r="C111" s="36">
        <v>0</v>
      </c>
      <c r="D111" s="37">
        <f>C111/C108*D108</f>
        <v>0</v>
      </c>
      <c r="E111" s="47"/>
    </row>
    <row r="112" spans="1:5" ht="25.5">
      <c r="A112" s="55"/>
      <c r="B112" s="35" t="s">
        <v>105</v>
      </c>
      <c r="C112" s="36">
        <v>0</v>
      </c>
      <c r="D112" s="37">
        <f>C112/C108*D108</f>
        <v>0</v>
      </c>
      <c r="E112" s="47"/>
    </row>
    <row r="113" spans="1:5">
      <c r="A113" s="55"/>
      <c r="B113" s="35" t="s">
        <v>125</v>
      </c>
      <c r="C113" s="36">
        <v>0</v>
      </c>
      <c r="D113" s="37">
        <f>C113/C108*D108</f>
        <v>0</v>
      </c>
      <c r="E113" s="47"/>
    </row>
    <row r="114" spans="1:5">
      <c r="A114" s="55"/>
      <c r="B114" s="35" t="s">
        <v>126</v>
      </c>
      <c r="C114" s="36">
        <v>0</v>
      </c>
      <c r="D114" s="37">
        <f>C114/C108*D108</f>
        <v>0</v>
      </c>
      <c r="E114" s="47"/>
    </row>
    <row r="115" spans="1:5">
      <c r="A115" s="55"/>
      <c r="B115" s="35" t="s">
        <v>127</v>
      </c>
      <c r="C115" s="36">
        <v>0</v>
      </c>
      <c r="D115" s="37">
        <f>C115/C108*D108</f>
        <v>0</v>
      </c>
      <c r="E115" s="47"/>
    </row>
    <row r="116" spans="1:5">
      <c r="A116" s="55"/>
      <c r="B116" s="35" t="s">
        <v>128</v>
      </c>
      <c r="C116" s="36">
        <v>1</v>
      </c>
      <c r="D116" s="37">
        <f>C116/C108*D108</f>
        <v>4.3478260869565216E-2</v>
      </c>
      <c r="E116" s="47"/>
    </row>
    <row r="117" spans="1:5">
      <c r="A117" s="55"/>
      <c r="B117" s="35" t="s">
        <v>129</v>
      </c>
      <c r="C117" s="36">
        <v>0</v>
      </c>
      <c r="D117" s="37">
        <f>C117/C108*D108</f>
        <v>0</v>
      </c>
      <c r="E117" s="47"/>
    </row>
    <row r="118" spans="1:5" ht="25.5">
      <c r="A118" s="56"/>
      <c r="B118" s="35" t="s">
        <v>130</v>
      </c>
      <c r="C118" s="36">
        <v>0</v>
      </c>
      <c r="D118" s="37">
        <f>C118/C108*D108</f>
        <v>0</v>
      </c>
      <c r="E118" s="48"/>
    </row>
    <row r="119" spans="1:5" ht="38.25">
      <c r="A119" s="49" t="s">
        <v>88</v>
      </c>
      <c r="B119" s="35" t="s">
        <v>131</v>
      </c>
      <c r="C119" s="36">
        <v>0</v>
      </c>
      <c r="D119" s="37">
        <f>C119/C108*D108</f>
        <v>0</v>
      </c>
      <c r="E119" s="46">
        <f>SUM(D119:D121)</f>
        <v>0.13043478260869565</v>
      </c>
    </row>
    <row r="120" spans="1:5" ht="25.5">
      <c r="A120" s="50"/>
      <c r="B120" s="35" t="s">
        <v>132</v>
      </c>
      <c r="C120" s="36">
        <v>0</v>
      </c>
      <c r="D120" s="37">
        <f>C120/C108*D108</f>
        <v>0</v>
      </c>
      <c r="E120" s="47"/>
    </row>
    <row r="121" spans="1:5">
      <c r="A121" s="51"/>
      <c r="B121" s="35" t="s">
        <v>133</v>
      </c>
      <c r="C121" s="36">
        <v>3</v>
      </c>
      <c r="D121" s="37">
        <f>C121/C108*D108</f>
        <v>0.13043478260869565</v>
      </c>
      <c r="E121" s="48"/>
    </row>
    <row r="122" spans="1:5">
      <c r="A122" s="57" t="s">
        <v>64</v>
      </c>
      <c r="B122" s="35" t="s">
        <v>134</v>
      </c>
      <c r="C122" s="36">
        <v>0</v>
      </c>
      <c r="D122" s="37">
        <f>C122/C108*D108</f>
        <v>0</v>
      </c>
      <c r="E122" s="46">
        <f>SUM(D122:D123)</f>
        <v>0.30434782608695654</v>
      </c>
    </row>
    <row r="123" spans="1:5" ht="25.5">
      <c r="A123" s="58"/>
      <c r="B123" s="35" t="s">
        <v>63</v>
      </c>
      <c r="C123" s="36">
        <v>7</v>
      </c>
      <c r="D123" s="37">
        <f>C123/C108*D108</f>
        <v>0.30434782608695654</v>
      </c>
      <c r="E123" s="48"/>
    </row>
    <row r="124" spans="1:5">
      <c r="A124" s="43" t="s">
        <v>78</v>
      </c>
      <c r="B124" s="35" t="s">
        <v>98</v>
      </c>
      <c r="C124" s="36">
        <v>10</v>
      </c>
      <c r="D124" s="37">
        <f>C124/C108*D108</f>
        <v>0.43478260869565216</v>
      </c>
      <c r="E124" s="46">
        <f>SUM(D124:D127)</f>
        <v>0.43478260869565216</v>
      </c>
    </row>
    <row r="125" spans="1:5" ht="25.5">
      <c r="A125" s="44"/>
      <c r="B125" s="35" t="s">
        <v>135</v>
      </c>
      <c r="C125" s="36">
        <v>0</v>
      </c>
      <c r="D125" s="37">
        <f>C125/C108*D108</f>
        <v>0</v>
      </c>
      <c r="E125" s="47"/>
    </row>
    <row r="126" spans="1:5">
      <c r="A126" s="44"/>
      <c r="B126" s="35" t="s">
        <v>136</v>
      </c>
      <c r="C126" s="36">
        <v>0</v>
      </c>
      <c r="D126" s="37">
        <f>C126/C108*D108</f>
        <v>0</v>
      </c>
      <c r="E126" s="47"/>
    </row>
    <row r="127" spans="1:5" ht="25.5">
      <c r="A127" s="45"/>
      <c r="B127" s="35" t="s">
        <v>77</v>
      </c>
      <c r="C127" s="36">
        <v>0</v>
      </c>
      <c r="D127" s="37">
        <f>C127/C108*D108</f>
        <v>0</v>
      </c>
      <c r="E127" s="48"/>
    </row>
    <row r="128" spans="1:5" ht="28.5">
      <c r="A128" s="40" t="s">
        <v>137</v>
      </c>
      <c r="B128" s="35" t="s">
        <v>138</v>
      </c>
      <c r="C128" s="36">
        <v>0</v>
      </c>
      <c r="D128" s="37">
        <f>C128/C108*D108</f>
        <v>0</v>
      </c>
      <c r="E128" s="39">
        <f>SUM(D128)</f>
        <v>0</v>
      </c>
    </row>
    <row r="129" spans="1:5">
      <c r="A129" s="49" t="s">
        <v>139</v>
      </c>
      <c r="B129" s="35" t="s">
        <v>140</v>
      </c>
      <c r="C129" s="36">
        <v>1</v>
      </c>
      <c r="D129" s="37">
        <f>C129/C108*D108</f>
        <v>4.3478260869565216E-2</v>
      </c>
      <c r="E129" s="46">
        <f>SUM(D129:D134)</f>
        <v>8.6956521739130432E-2</v>
      </c>
    </row>
    <row r="130" spans="1:5">
      <c r="A130" s="50"/>
      <c r="B130" s="35" t="s">
        <v>141</v>
      </c>
      <c r="C130" s="36">
        <v>1</v>
      </c>
      <c r="D130" s="37">
        <f>C130/C108*D108</f>
        <v>4.3478260869565216E-2</v>
      </c>
      <c r="E130" s="47"/>
    </row>
    <row r="131" spans="1:5">
      <c r="A131" s="50"/>
      <c r="B131" s="35" t="s">
        <v>142</v>
      </c>
      <c r="C131" s="36">
        <v>0</v>
      </c>
      <c r="D131" s="37">
        <f>C131/C108*D108</f>
        <v>0</v>
      </c>
      <c r="E131" s="47"/>
    </row>
    <row r="132" spans="1:5">
      <c r="A132" s="50"/>
      <c r="B132" s="35" t="s">
        <v>143</v>
      </c>
      <c r="C132" s="36">
        <v>0</v>
      </c>
      <c r="D132" s="37">
        <f>C132/C108*D108</f>
        <v>0</v>
      </c>
      <c r="E132" s="47"/>
    </row>
    <row r="133" spans="1:5">
      <c r="A133" s="50"/>
      <c r="B133" s="35" t="s">
        <v>144</v>
      </c>
      <c r="C133" s="36">
        <v>0</v>
      </c>
      <c r="D133" s="37">
        <f>C133/C108*D108</f>
        <v>0</v>
      </c>
      <c r="E133" s="47"/>
    </row>
    <row r="134" spans="1:5">
      <c r="A134" s="51"/>
      <c r="B134" s="35" t="s">
        <v>145</v>
      </c>
      <c r="C134" s="36">
        <v>0</v>
      </c>
      <c r="D134" s="37">
        <f>C134/C108*D108</f>
        <v>0</v>
      </c>
      <c r="E134" s="48"/>
    </row>
    <row r="135" spans="1:5">
      <c r="A135" s="52" t="s">
        <v>146</v>
      </c>
      <c r="B135" s="53"/>
      <c r="C135" s="38">
        <f>SUM(C110:C134)</f>
        <v>23</v>
      </c>
      <c r="D135" s="37">
        <f>+C135/C108*D108</f>
        <v>1</v>
      </c>
      <c r="E135" s="39">
        <f>SUM(E110:E129)</f>
        <v>1</v>
      </c>
    </row>
    <row r="138" spans="1:5">
      <c r="A138" s="59" t="s">
        <v>150</v>
      </c>
      <c r="B138" s="60"/>
      <c r="C138" s="60"/>
      <c r="D138" s="61"/>
    </row>
    <row r="139" spans="1:5">
      <c r="A139" s="59" t="s">
        <v>115</v>
      </c>
      <c r="B139" s="61"/>
      <c r="C139" s="62">
        <v>0</v>
      </c>
      <c r="D139" s="63"/>
    </row>
    <row r="140" spans="1:5" ht="15.75" thickBot="1">
      <c r="A140" s="64" t="s">
        <v>116</v>
      </c>
      <c r="B140" s="65"/>
      <c r="C140" s="41">
        <f>C167</f>
        <v>6</v>
      </c>
      <c r="D140" s="31">
        <v>1</v>
      </c>
    </row>
    <row r="141" spans="1:5">
      <c r="A141" s="32" t="s">
        <v>117</v>
      </c>
      <c r="B141" s="32" t="s">
        <v>118</v>
      </c>
      <c r="C141" s="33" t="s">
        <v>119</v>
      </c>
      <c r="D141" s="34" t="s">
        <v>120</v>
      </c>
      <c r="E141" s="34" t="s">
        <v>121</v>
      </c>
    </row>
    <row r="142" spans="1:5">
      <c r="A142" s="54" t="s">
        <v>122</v>
      </c>
      <c r="B142" s="35" t="s">
        <v>123</v>
      </c>
      <c r="C142" s="36">
        <v>0</v>
      </c>
      <c r="D142" s="37">
        <f>C142/C140*D140</f>
        <v>0</v>
      </c>
      <c r="E142" s="46">
        <f>SUM(D142:D150)</f>
        <v>0</v>
      </c>
    </row>
    <row r="143" spans="1:5">
      <c r="A143" s="55"/>
      <c r="B143" s="35" t="s">
        <v>124</v>
      </c>
      <c r="C143" s="36">
        <v>0</v>
      </c>
      <c r="D143" s="37">
        <f>C143/C140*D140</f>
        <v>0</v>
      </c>
      <c r="E143" s="47"/>
    </row>
    <row r="144" spans="1:5" ht="25.5">
      <c r="A144" s="55"/>
      <c r="B144" s="35" t="s">
        <v>105</v>
      </c>
      <c r="C144" s="36">
        <v>0</v>
      </c>
      <c r="D144" s="37">
        <f>C144/C140*D140</f>
        <v>0</v>
      </c>
      <c r="E144" s="47"/>
    </row>
    <row r="145" spans="1:5">
      <c r="A145" s="55"/>
      <c r="B145" s="35" t="s">
        <v>125</v>
      </c>
      <c r="C145" s="36">
        <v>0</v>
      </c>
      <c r="D145" s="37">
        <f>C145/C140*D140</f>
        <v>0</v>
      </c>
      <c r="E145" s="47"/>
    </row>
    <row r="146" spans="1:5">
      <c r="A146" s="55"/>
      <c r="B146" s="35" t="s">
        <v>126</v>
      </c>
      <c r="C146" s="36">
        <v>0</v>
      </c>
      <c r="D146" s="37">
        <f>C146/C140*D140</f>
        <v>0</v>
      </c>
      <c r="E146" s="47"/>
    </row>
    <row r="147" spans="1:5">
      <c r="A147" s="55"/>
      <c r="B147" s="35" t="s">
        <v>127</v>
      </c>
      <c r="C147" s="36">
        <v>0</v>
      </c>
      <c r="D147" s="37">
        <f>C147/C140*D140</f>
        <v>0</v>
      </c>
      <c r="E147" s="47"/>
    </row>
    <row r="148" spans="1:5">
      <c r="A148" s="55"/>
      <c r="B148" s="35" t="s">
        <v>128</v>
      </c>
      <c r="C148" s="36">
        <v>0</v>
      </c>
      <c r="D148" s="37">
        <f>C148/C140*D140</f>
        <v>0</v>
      </c>
      <c r="E148" s="47"/>
    </row>
    <row r="149" spans="1:5">
      <c r="A149" s="55"/>
      <c r="B149" s="35" t="s">
        <v>129</v>
      </c>
      <c r="C149" s="36">
        <v>0</v>
      </c>
      <c r="D149" s="37">
        <f>C149/C140*D140</f>
        <v>0</v>
      </c>
      <c r="E149" s="47"/>
    </row>
    <row r="150" spans="1:5" ht="25.5">
      <c r="A150" s="56"/>
      <c r="B150" s="35" t="s">
        <v>130</v>
      </c>
      <c r="C150" s="36">
        <v>0</v>
      </c>
      <c r="D150" s="37">
        <f>C150/C140*D140</f>
        <v>0</v>
      </c>
      <c r="E150" s="48"/>
    </row>
    <row r="151" spans="1:5" ht="38.25">
      <c r="A151" s="49" t="s">
        <v>88</v>
      </c>
      <c r="B151" s="35" t="s">
        <v>131</v>
      </c>
      <c r="C151" s="36">
        <v>0</v>
      </c>
      <c r="D151" s="37">
        <f>C151/C140*D140</f>
        <v>0</v>
      </c>
      <c r="E151" s="46">
        <f>SUM(D151:D153)</f>
        <v>0.16666666666666666</v>
      </c>
    </row>
    <row r="152" spans="1:5" ht="25.5">
      <c r="A152" s="50"/>
      <c r="B152" s="35" t="s">
        <v>132</v>
      </c>
      <c r="C152" s="36">
        <v>0</v>
      </c>
      <c r="D152" s="37">
        <f>C152/C140*D140</f>
        <v>0</v>
      </c>
      <c r="E152" s="47"/>
    </row>
    <row r="153" spans="1:5">
      <c r="A153" s="51"/>
      <c r="B153" s="35" t="s">
        <v>133</v>
      </c>
      <c r="C153" s="36">
        <v>1</v>
      </c>
      <c r="D153" s="37">
        <f>C153/C140*D140</f>
        <v>0.16666666666666666</v>
      </c>
      <c r="E153" s="48"/>
    </row>
    <row r="154" spans="1:5">
      <c r="A154" s="57" t="s">
        <v>64</v>
      </c>
      <c r="B154" s="35" t="s">
        <v>134</v>
      </c>
      <c r="C154" s="36">
        <v>0</v>
      </c>
      <c r="D154" s="37">
        <f>C154/C140*D140</f>
        <v>0</v>
      </c>
      <c r="E154" s="46">
        <f>SUM(D154:D155)</f>
        <v>0.66666666666666663</v>
      </c>
    </row>
    <row r="155" spans="1:5" ht="25.5">
      <c r="A155" s="58"/>
      <c r="B155" s="35" t="s">
        <v>63</v>
      </c>
      <c r="C155" s="36">
        <v>4</v>
      </c>
      <c r="D155" s="37">
        <f>C155/C140*D140</f>
        <v>0.66666666666666663</v>
      </c>
      <c r="E155" s="48"/>
    </row>
    <row r="156" spans="1:5">
      <c r="A156" s="43" t="s">
        <v>78</v>
      </c>
      <c r="B156" s="35" t="s">
        <v>98</v>
      </c>
      <c r="C156" s="36">
        <v>1</v>
      </c>
      <c r="D156" s="37">
        <f>C156/C140*D140</f>
        <v>0.16666666666666666</v>
      </c>
      <c r="E156" s="46">
        <f>SUM(D156:D159)</f>
        <v>0.16666666666666666</v>
      </c>
    </row>
    <row r="157" spans="1:5" ht="25.5">
      <c r="A157" s="44"/>
      <c r="B157" s="35" t="s">
        <v>135</v>
      </c>
      <c r="C157" s="36">
        <v>0</v>
      </c>
      <c r="D157" s="37">
        <f>C157/C140*D140</f>
        <v>0</v>
      </c>
      <c r="E157" s="47"/>
    </row>
    <row r="158" spans="1:5">
      <c r="A158" s="44"/>
      <c r="B158" s="35" t="s">
        <v>136</v>
      </c>
      <c r="C158" s="36">
        <v>0</v>
      </c>
      <c r="D158" s="37">
        <f>C158/C140*D140</f>
        <v>0</v>
      </c>
      <c r="E158" s="47"/>
    </row>
    <row r="159" spans="1:5" ht="25.5">
      <c r="A159" s="45"/>
      <c r="B159" s="35" t="s">
        <v>77</v>
      </c>
      <c r="C159" s="36">
        <v>0</v>
      </c>
      <c r="D159" s="37">
        <f>C159/C140*D140</f>
        <v>0</v>
      </c>
      <c r="E159" s="48"/>
    </row>
    <row r="160" spans="1:5" ht="28.5">
      <c r="A160" s="40" t="s">
        <v>137</v>
      </c>
      <c r="B160" s="35" t="s">
        <v>138</v>
      </c>
      <c r="C160" s="36">
        <v>0</v>
      </c>
      <c r="D160" s="37">
        <f>C160/C140*D140</f>
        <v>0</v>
      </c>
      <c r="E160" s="39">
        <f>SUM(D160)</f>
        <v>0</v>
      </c>
    </row>
    <row r="161" spans="1:5">
      <c r="A161" s="49" t="s">
        <v>139</v>
      </c>
      <c r="B161" s="35" t="s">
        <v>140</v>
      </c>
      <c r="C161" s="36">
        <v>0</v>
      </c>
      <c r="D161" s="37">
        <f>C161/C140*D140</f>
        <v>0</v>
      </c>
      <c r="E161" s="46">
        <f>SUM(D161:D166)</f>
        <v>0</v>
      </c>
    </row>
    <row r="162" spans="1:5">
      <c r="A162" s="50"/>
      <c r="B162" s="35" t="s">
        <v>141</v>
      </c>
      <c r="C162" s="36">
        <v>0</v>
      </c>
      <c r="D162" s="37">
        <f>C162/C140*D140</f>
        <v>0</v>
      </c>
      <c r="E162" s="47"/>
    </row>
    <row r="163" spans="1:5">
      <c r="A163" s="50"/>
      <c r="B163" s="35" t="s">
        <v>142</v>
      </c>
      <c r="C163" s="36">
        <v>0</v>
      </c>
      <c r="D163" s="37">
        <f>C163/C140*D140</f>
        <v>0</v>
      </c>
      <c r="E163" s="47"/>
    </row>
    <row r="164" spans="1:5">
      <c r="A164" s="50"/>
      <c r="B164" s="35" t="s">
        <v>143</v>
      </c>
      <c r="C164" s="36">
        <v>0</v>
      </c>
      <c r="D164" s="37">
        <f>C164/C140*D140</f>
        <v>0</v>
      </c>
      <c r="E164" s="47"/>
    </row>
    <row r="165" spans="1:5">
      <c r="A165" s="50"/>
      <c r="B165" s="35" t="s">
        <v>144</v>
      </c>
      <c r="C165" s="36">
        <v>0</v>
      </c>
      <c r="D165" s="37">
        <f>C165/C140*D140</f>
        <v>0</v>
      </c>
      <c r="E165" s="47"/>
    </row>
    <row r="166" spans="1:5">
      <c r="A166" s="51"/>
      <c r="B166" s="35" t="s">
        <v>145</v>
      </c>
      <c r="C166" s="36">
        <v>0</v>
      </c>
      <c r="D166" s="37">
        <f>C166/C140*D140</f>
        <v>0</v>
      </c>
      <c r="E166" s="48"/>
    </row>
    <row r="167" spans="1:5">
      <c r="A167" s="52" t="s">
        <v>146</v>
      </c>
      <c r="B167" s="53"/>
      <c r="C167" s="38">
        <f>SUM(C142:C166)</f>
        <v>6</v>
      </c>
      <c r="D167" s="37">
        <f>+C167/C140*D140</f>
        <v>1</v>
      </c>
      <c r="E167" s="39">
        <f>SUM(E142:E161)</f>
        <v>0.99999999999999989</v>
      </c>
    </row>
    <row r="170" spans="1:5">
      <c r="A170" s="59" t="s">
        <v>151</v>
      </c>
      <c r="B170" s="60"/>
      <c r="C170" s="60"/>
      <c r="D170" s="61"/>
    </row>
    <row r="171" spans="1:5">
      <c r="A171" s="59" t="s">
        <v>115</v>
      </c>
      <c r="B171" s="61"/>
      <c r="C171" s="62">
        <v>0</v>
      </c>
      <c r="D171" s="63"/>
    </row>
    <row r="172" spans="1:5" ht="15.75" thickBot="1">
      <c r="A172" s="64" t="s">
        <v>116</v>
      </c>
      <c r="B172" s="65"/>
      <c r="C172" s="41">
        <f>C199</f>
        <v>43</v>
      </c>
      <c r="D172" s="31">
        <v>1</v>
      </c>
    </row>
    <row r="173" spans="1:5">
      <c r="A173" s="32" t="s">
        <v>117</v>
      </c>
      <c r="B173" s="32" t="s">
        <v>118</v>
      </c>
      <c r="C173" s="33" t="s">
        <v>119</v>
      </c>
      <c r="D173" s="34" t="s">
        <v>120</v>
      </c>
      <c r="E173" s="34" t="s">
        <v>121</v>
      </c>
    </row>
    <row r="174" spans="1:5">
      <c r="A174" s="54" t="s">
        <v>122</v>
      </c>
      <c r="B174" s="35" t="s">
        <v>123</v>
      </c>
      <c r="C174" s="36">
        <v>0</v>
      </c>
      <c r="D174" s="37">
        <f>C174/C172*D172</f>
        <v>0</v>
      </c>
      <c r="E174" s="46">
        <f>SUM(D174:D182)</f>
        <v>0</v>
      </c>
    </row>
    <row r="175" spans="1:5">
      <c r="A175" s="55"/>
      <c r="B175" s="35" t="s">
        <v>124</v>
      </c>
      <c r="C175" s="36">
        <v>0</v>
      </c>
      <c r="D175" s="37">
        <f>C175/C172*D172</f>
        <v>0</v>
      </c>
      <c r="E175" s="47"/>
    </row>
    <row r="176" spans="1:5" ht="25.5">
      <c r="A176" s="55"/>
      <c r="B176" s="35" t="s">
        <v>105</v>
      </c>
      <c r="C176" s="36">
        <v>0</v>
      </c>
      <c r="D176" s="37">
        <f>C176/C172*D172</f>
        <v>0</v>
      </c>
      <c r="E176" s="47"/>
    </row>
    <row r="177" spans="1:5">
      <c r="A177" s="55"/>
      <c r="B177" s="35" t="s">
        <v>125</v>
      </c>
      <c r="C177" s="36">
        <v>0</v>
      </c>
      <c r="D177" s="37">
        <f>C177/C172*D172</f>
        <v>0</v>
      </c>
      <c r="E177" s="47"/>
    </row>
    <row r="178" spans="1:5">
      <c r="A178" s="55"/>
      <c r="B178" s="35" t="s">
        <v>126</v>
      </c>
      <c r="C178" s="36">
        <v>0</v>
      </c>
      <c r="D178" s="37">
        <f>C178/C172*D172</f>
        <v>0</v>
      </c>
      <c r="E178" s="47"/>
    </row>
    <row r="179" spans="1:5">
      <c r="A179" s="55"/>
      <c r="B179" s="35" t="s">
        <v>127</v>
      </c>
      <c r="C179" s="36">
        <v>0</v>
      </c>
      <c r="D179" s="37">
        <f>C179/C172*D172</f>
        <v>0</v>
      </c>
      <c r="E179" s="47"/>
    </row>
    <row r="180" spans="1:5">
      <c r="A180" s="55"/>
      <c r="B180" s="35" t="s">
        <v>128</v>
      </c>
      <c r="C180" s="36">
        <v>0</v>
      </c>
      <c r="D180" s="37">
        <f>C180/C172*D172</f>
        <v>0</v>
      </c>
      <c r="E180" s="47"/>
    </row>
    <row r="181" spans="1:5">
      <c r="A181" s="55"/>
      <c r="B181" s="35" t="s">
        <v>129</v>
      </c>
      <c r="C181" s="36">
        <v>0</v>
      </c>
      <c r="D181" s="37">
        <f>C181/C172*D172</f>
        <v>0</v>
      </c>
      <c r="E181" s="47"/>
    </row>
    <row r="182" spans="1:5" ht="25.5">
      <c r="A182" s="56"/>
      <c r="B182" s="35" t="s">
        <v>130</v>
      </c>
      <c r="C182" s="36">
        <v>0</v>
      </c>
      <c r="D182" s="37">
        <f>C182/C172*D172</f>
        <v>0</v>
      </c>
      <c r="E182" s="48"/>
    </row>
    <row r="183" spans="1:5" ht="38.25">
      <c r="A183" s="49" t="s">
        <v>88</v>
      </c>
      <c r="B183" s="35" t="s">
        <v>131</v>
      </c>
      <c r="C183" s="36">
        <v>0</v>
      </c>
      <c r="D183" s="37">
        <f>C183/C172*D172</f>
        <v>0</v>
      </c>
      <c r="E183" s="46">
        <f>SUM(D183:D185)</f>
        <v>6.9767441860465115E-2</v>
      </c>
    </row>
    <row r="184" spans="1:5" ht="25.5">
      <c r="A184" s="50"/>
      <c r="B184" s="35" t="s">
        <v>132</v>
      </c>
      <c r="C184" s="36">
        <v>0</v>
      </c>
      <c r="D184" s="37">
        <f>C184/C172*D172</f>
        <v>0</v>
      </c>
      <c r="E184" s="47"/>
    </row>
    <row r="185" spans="1:5">
      <c r="A185" s="51"/>
      <c r="B185" s="35" t="s">
        <v>133</v>
      </c>
      <c r="C185" s="36">
        <v>3</v>
      </c>
      <c r="D185" s="37">
        <f>C185/C172*D172</f>
        <v>6.9767441860465115E-2</v>
      </c>
      <c r="E185" s="48"/>
    </row>
    <row r="186" spans="1:5">
      <c r="A186" s="57" t="s">
        <v>64</v>
      </c>
      <c r="B186" s="35" t="s">
        <v>134</v>
      </c>
      <c r="C186" s="36">
        <v>0</v>
      </c>
      <c r="D186" s="37">
        <f>C186/C172*D172</f>
        <v>0</v>
      </c>
      <c r="E186" s="46">
        <f>SUM(D186:D187)</f>
        <v>0.44186046511627908</v>
      </c>
    </row>
    <row r="187" spans="1:5" ht="25.5">
      <c r="A187" s="58"/>
      <c r="B187" s="35" t="s">
        <v>63</v>
      </c>
      <c r="C187" s="36">
        <v>19</v>
      </c>
      <c r="D187" s="37">
        <f>C187/C172*D172</f>
        <v>0.44186046511627908</v>
      </c>
      <c r="E187" s="48"/>
    </row>
    <row r="188" spans="1:5">
      <c r="A188" s="43" t="s">
        <v>78</v>
      </c>
      <c r="B188" s="35" t="s">
        <v>98</v>
      </c>
      <c r="C188" s="36">
        <v>16</v>
      </c>
      <c r="D188" s="37">
        <f>C188/C172*D172</f>
        <v>0.37209302325581395</v>
      </c>
      <c r="E188" s="46">
        <f>SUM(D188:D191)</f>
        <v>0.41860465116279066</v>
      </c>
    </row>
    <row r="189" spans="1:5" ht="25.5">
      <c r="A189" s="44"/>
      <c r="B189" s="35" t="s">
        <v>135</v>
      </c>
      <c r="C189" s="36">
        <v>0</v>
      </c>
      <c r="D189" s="37">
        <f>C189/C172*D172</f>
        <v>0</v>
      </c>
      <c r="E189" s="47"/>
    </row>
    <row r="190" spans="1:5">
      <c r="A190" s="44"/>
      <c r="B190" s="35" t="s">
        <v>136</v>
      </c>
      <c r="C190" s="36">
        <v>0</v>
      </c>
      <c r="D190" s="37">
        <f>C190/C172*D172</f>
        <v>0</v>
      </c>
      <c r="E190" s="47"/>
    </row>
    <row r="191" spans="1:5" ht="25.5">
      <c r="A191" s="45"/>
      <c r="B191" s="35" t="s">
        <v>77</v>
      </c>
      <c r="C191" s="36">
        <v>2</v>
      </c>
      <c r="D191" s="37">
        <f>C191/C172*D172</f>
        <v>4.6511627906976744E-2</v>
      </c>
      <c r="E191" s="48"/>
    </row>
    <row r="192" spans="1:5" ht="28.5">
      <c r="A192" s="40" t="s">
        <v>137</v>
      </c>
      <c r="B192" s="35" t="s">
        <v>138</v>
      </c>
      <c r="C192" s="36">
        <v>0</v>
      </c>
      <c r="D192" s="37">
        <f>C192/C172*D172</f>
        <v>0</v>
      </c>
      <c r="E192" s="39">
        <f>SUM(D192)</f>
        <v>0</v>
      </c>
    </row>
    <row r="193" spans="1:5">
      <c r="A193" s="49" t="s">
        <v>139</v>
      </c>
      <c r="B193" s="35" t="s">
        <v>140</v>
      </c>
      <c r="C193" s="36">
        <v>2</v>
      </c>
      <c r="D193" s="37">
        <f>C193/C172*D172</f>
        <v>4.6511627906976744E-2</v>
      </c>
      <c r="E193" s="46">
        <f>SUM(D193:D198)</f>
        <v>6.9767441860465115E-2</v>
      </c>
    </row>
    <row r="194" spans="1:5">
      <c r="A194" s="50"/>
      <c r="B194" s="35" t="s">
        <v>141</v>
      </c>
      <c r="C194" s="36">
        <v>1</v>
      </c>
      <c r="D194" s="37">
        <f>C194/C172*D172</f>
        <v>2.3255813953488372E-2</v>
      </c>
      <c r="E194" s="47"/>
    </row>
    <row r="195" spans="1:5">
      <c r="A195" s="50"/>
      <c r="B195" s="35" t="s">
        <v>142</v>
      </c>
      <c r="C195" s="36">
        <v>0</v>
      </c>
      <c r="D195" s="37">
        <f>C195/C172*D172</f>
        <v>0</v>
      </c>
      <c r="E195" s="47"/>
    </row>
    <row r="196" spans="1:5">
      <c r="A196" s="50"/>
      <c r="B196" s="35" t="s">
        <v>143</v>
      </c>
      <c r="C196" s="36">
        <v>0</v>
      </c>
      <c r="D196" s="37">
        <f>C196/C172*D172</f>
        <v>0</v>
      </c>
      <c r="E196" s="47"/>
    </row>
    <row r="197" spans="1:5">
      <c r="A197" s="50"/>
      <c r="B197" s="35" t="s">
        <v>144</v>
      </c>
      <c r="C197" s="36">
        <v>0</v>
      </c>
      <c r="D197" s="37">
        <f>C197/C172*D172</f>
        <v>0</v>
      </c>
      <c r="E197" s="47"/>
    </row>
    <row r="198" spans="1:5">
      <c r="A198" s="51"/>
      <c r="B198" s="35" t="s">
        <v>145</v>
      </c>
      <c r="C198" s="36">
        <v>0</v>
      </c>
      <c r="D198" s="37">
        <f>C198/C172*D172</f>
        <v>0</v>
      </c>
      <c r="E198" s="48"/>
    </row>
    <row r="199" spans="1:5">
      <c r="A199" s="52" t="s">
        <v>146</v>
      </c>
      <c r="B199" s="53"/>
      <c r="C199" s="38">
        <f>SUM(C174:C198)</f>
        <v>43</v>
      </c>
      <c r="D199" s="37">
        <f>+C199/C172*D172</f>
        <v>1</v>
      </c>
      <c r="E199" s="39">
        <f>SUM(E174:E193)</f>
        <v>1</v>
      </c>
    </row>
    <row r="202" spans="1:5">
      <c r="A202" s="59" t="s">
        <v>152</v>
      </c>
      <c r="B202" s="60"/>
      <c r="C202" s="60"/>
      <c r="D202" s="61"/>
    </row>
    <row r="203" spans="1:5">
      <c r="A203" s="59" t="s">
        <v>115</v>
      </c>
      <c r="B203" s="61"/>
      <c r="C203" s="62">
        <v>0</v>
      </c>
      <c r="D203" s="63"/>
    </row>
    <row r="204" spans="1:5" ht="15.75" thickBot="1">
      <c r="A204" s="64" t="s">
        <v>116</v>
      </c>
      <c r="B204" s="65"/>
      <c r="C204" s="41">
        <f>C231</f>
        <v>1</v>
      </c>
      <c r="D204" s="31">
        <v>1</v>
      </c>
    </row>
    <row r="205" spans="1:5">
      <c r="A205" s="32" t="s">
        <v>117</v>
      </c>
      <c r="B205" s="32" t="s">
        <v>118</v>
      </c>
      <c r="C205" s="33" t="s">
        <v>119</v>
      </c>
      <c r="D205" s="34" t="s">
        <v>120</v>
      </c>
      <c r="E205" s="34" t="s">
        <v>121</v>
      </c>
    </row>
    <row r="206" spans="1:5">
      <c r="A206" s="54" t="s">
        <v>122</v>
      </c>
      <c r="B206" s="35" t="s">
        <v>123</v>
      </c>
      <c r="C206" s="36">
        <v>0</v>
      </c>
      <c r="D206" s="37">
        <f>C206/C204*D204</f>
        <v>0</v>
      </c>
      <c r="E206" s="46">
        <f>SUM(D206:D214)</f>
        <v>0</v>
      </c>
    </row>
    <row r="207" spans="1:5">
      <c r="A207" s="55"/>
      <c r="B207" s="35" t="s">
        <v>124</v>
      </c>
      <c r="C207" s="36">
        <v>0</v>
      </c>
      <c r="D207" s="37">
        <f>C207/C204*D204</f>
        <v>0</v>
      </c>
      <c r="E207" s="47"/>
    </row>
    <row r="208" spans="1:5" ht="25.5">
      <c r="A208" s="55"/>
      <c r="B208" s="35" t="s">
        <v>105</v>
      </c>
      <c r="C208" s="36">
        <v>0</v>
      </c>
      <c r="D208" s="37">
        <f>C208/C204*D204</f>
        <v>0</v>
      </c>
      <c r="E208" s="47"/>
    </row>
    <row r="209" spans="1:5">
      <c r="A209" s="55"/>
      <c r="B209" s="35" t="s">
        <v>125</v>
      </c>
      <c r="C209" s="36">
        <v>0</v>
      </c>
      <c r="D209" s="37">
        <f>C209/C204*D204</f>
        <v>0</v>
      </c>
      <c r="E209" s="47"/>
    </row>
    <row r="210" spans="1:5">
      <c r="A210" s="55"/>
      <c r="B210" s="35" t="s">
        <v>126</v>
      </c>
      <c r="C210" s="36">
        <v>0</v>
      </c>
      <c r="D210" s="37">
        <f>C210/C204*D204</f>
        <v>0</v>
      </c>
      <c r="E210" s="47"/>
    </row>
    <row r="211" spans="1:5">
      <c r="A211" s="55"/>
      <c r="B211" s="35" t="s">
        <v>127</v>
      </c>
      <c r="C211" s="36">
        <v>0</v>
      </c>
      <c r="D211" s="37">
        <f>C211/C204*D204</f>
        <v>0</v>
      </c>
      <c r="E211" s="47"/>
    </row>
    <row r="212" spans="1:5">
      <c r="A212" s="55"/>
      <c r="B212" s="35" t="s">
        <v>128</v>
      </c>
      <c r="C212" s="36">
        <v>0</v>
      </c>
      <c r="D212" s="37">
        <f>C212/C204*D204</f>
        <v>0</v>
      </c>
      <c r="E212" s="47"/>
    </row>
    <row r="213" spans="1:5">
      <c r="A213" s="55"/>
      <c r="B213" s="35" t="s">
        <v>129</v>
      </c>
      <c r="C213" s="36">
        <v>0</v>
      </c>
      <c r="D213" s="37">
        <f>C213/C204*D204</f>
        <v>0</v>
      </c>
      <c r="E213" s="47"/>
    </row>
    <row r="214" spans="1:5" ht="25.5">
      <c r="A214" s="56"/>
      <c r="B214" s="35" t="s">
        <v>130</v>
      </c>
      <c r="C214" s="36">
        <v>0</v>
      </c>
      <c r="D214" s="37">
        <f>C214/C204*D204</f>
        <v>0</v>
      </c>
      <c r="E214" s="48"/>
    </row>
    <row r="215" spans="1:5" ht="38.25">
      <c r="A215" s="49" t="s">
        <v>88</v>
      </c>
      <c r="B215" s="35" t="s">
        <v>131</v>
      </c>
      <c r="C215" s="36">
        <v>0</v>
      </c>
      <c r="D215" s="37">
        <f>C215/C204*D204</f>
        <v>0</v>
      </c>
      <c r="E215" s="46">
        <f>SUM(D215:D217)</f>
        <v>0</v>
      </c>
    </row>
    <row r="216" spans="1:5" ht="25.5">
      <c r="A216" s="50"/>
      <c r="B216" s="35" t="s">
        <v>132</v>
      </c>
      <c r="C216" s="36">
        <v>0</v>
      </c>
      <c r="D216" s="37">
        <f>C216/C204*D204</f>
        <v>0</v>
      </c>
      <c r="E216" s="47"/>
    </row>
    <row r="217" spans="1:5">
      <c r="A217" s="51"/>
      <c r="B217" s="35" t="s">
        <v>133</v>
      </c>
      <c r="C217" s="36">
        <v>0</v>
      </c>
      <c r="D217" s="37">
        <f>C217/C204*D204</f>
        <v>0</v>
      </c>
      <c r="E217" s="48"/>
    </row>
    <row r="218" spans="1:5">
      <c r="A218" s="57" t="s">
        <v>64</v>
      </c>
      <c r="B218" s="35" t="s">
        <v>134</v>
      </c>
      <c r="C218" s="36">
        <v>0</v>
      </c>
      <c r="D218" s="37">
        <f>C218/C204*D204</f>
        <v>0</v>
      </c>
      <c r="E218" s="46">
        <f>SUM(D218:D219)</f>
        <v>0</v>
      </c>
    </row>
    <row r="219" spans="1:5" ht="25.5">
      <c r="A219" s="58"/>
      <c r="B219" s="35" t="s">
        <v>63</v>
      </c>
      <c r="C219" s="36">
        <v>0</v>
      </c>
      <c r="D219" s="37">
        <f>C219/C204*D204</f>
        <v>0</v>
      </c>
      <c r="E219" s="48"/>
    </row>
    <row r="220" spans="1:5">
      <c r="A220" s="43" t="s">
        <v>78</v>
      </c>
      <c r="B220" s="35" t="s">
        <v>98</v>
      </c>
      <c r="C220" s="36">
        <v>0</v>
      </c>
      <c r="D220" s="37">
        <f>C220/C204*D204</f>
        <v>0</v>
      </c>
      <c r="E220" s="46">
        <f>SUM(D220:D223)</f>
        <v>0</v>
      </c>
    </row>
    <row r="221" spans="1:5" ht="25.5">
      <c r="A221" s="44"/>
      <c r="B221" s="35" t="s">
        <v>135</v>
      </c>
      <c r="C221" s="36">
        <v>0</v>
      </c>
      <c r="D221" s="37">
        <f>C221/C204*D204</f>
        <v>0</v>
      </c>
      <c r="E221" s="47"/>
    </row>
    <row r="222" spans="1:5">
      <c r="A222" s="44"/>
      <c r="B222" s="35" t="s">
        <v>136</v>
      </c>
      <c r="C222" s="36">
        <v>0</v>
      </c>
      <c r="D222" s="37">
        <f>C222/C204*D204</f>
        <v>0</v>
      </c>
      <c r="E222" s="47"/>
    </row>
    <row r="223" spans="1:5" ht="25.5">
      <c r="A223" s="45"/>
      <c r="B223" s="35" t="s">
        <v>77</v>
      </c>
      <c r="C223" s="36">
        <v>0</v>
      </c>
      <c r="D223" s="37">
        <f>C223/C204*D204</f>
        <v>0</v>
      </c>
      <c r="E223" s="48"/>
    </row>
    <row r="224" spans="1:5" ht="28.5">
      <c r="A224" s="40" t="s">
        <v>137</v>
      </c>
      <c r="B224" s="35" t="s">
        <v>138</v>
      </c>
      <c r="C224" s="36">
        <v>0</v>
      </c>
      <c r="D224" s="37">
        <f>C224/C204*D204</f>
        <v>0</v>
      </c>
      <c r="E224" s="39">
        <f>SUM(D224)</f>
        <v>0</v>
      </c>
    </row>
    <row r="225" spans="1:5">
      <c r="A225" s="49" t="s">
        <v>139</v>
      </c>
      <c r="B225" s="35" t="s">
        <v>140</v>
      </c>
      <c r="C225" s="36">
        <v>0</v>
      </c>
      <c r="D225" s="37">
        <f>C225/C204*D204</f>
        <v>0</v>
      </c>
      <c r="E225" s="46">
        <f>SUM(D225:D230)</f>
        <v>1</v>
      </c>
    </row>
    <row r="226" spans="1:5">
      <c r="A226" s="50"/>
      <c r="B226" s="35" t="s">
        <v>141</v>
      </c>
      <c r="C226" s="36">
        <v>1</v>
      </c>
      <c r="D226" s="37">
        <f>C226/C204*D204</f>
        <v>1</v>
      </c>
      <c r="E226" s="47"/>
    </row>
    <row r="227" spans="1:5">
      <c r="A227" s="50"/>
      <c r="B227" s="35" t="s">
        <v>142</v>
      </c>
      <c r="C227" s="36">
        <v>0</v>
      </c>
      <c r="D227" s="37">
        <f>C227/C204*D204</f>
        <v>0</v>
      </c>
      <c r="E227" s="47"/>
    </row>
    <row r="228" spans="1:5">
      <c r="A228" s="50"/>
      <c r="B228" s="35" t="s">
        <v>143</v>
      </c>
      <c r="C228" s="36">
        <v>0</v>
      </c>
      <c r="D228" s="37">
        <f>C228/C204*D204</f>
        <v>0</v>
      </c>
      <c r="E228" s="47"/>
    </row>
    <row r="229" spans="1:5" ht="15.75" customHeight="1">
      <c r="A229" s="50"/>
      <c r="B229" s="35" t="s">
        <v>144</v>
      </c>
      <c r="C229" s="36">
        <v>0</v>
      </c>
      <c r="D229" s="37">
        <f>C229/C204*D204</f>
        <v>0</v>
      </c>
      <c r="E229" s="47"/>
    </row>
    <row r="230" spans="1:5">
      <c r="A230" s="51"/>
      <c r="B230" s="35" t="s">
        <v>145</v>
      </c>
      <c r="C230" s="36">
        <v>0</v>
      </c>
      <c r="D230" s="37">
        <f>C230/C204*D204</f>
        <v>0</v>
      </c>
      <c r="E230" s="48"/>
    </row>
    <row r="231" spans="1:5">
      <c r="A231" s="52" t="s">
        <v>146</v>
      </c>
      <c r="B231" s="53"/>
      <c r="C231" s="38">
        <f>SUM(C206:C230)</f>
        <v>1</v>
      </c>
      <c r="D231" s="37">
        <f>+C231/C204*D204</f>
        <v>1</v>
      </c>
      <c r="E231" s="39">
        <f>SUM(E206:E225)</f>
        <v>1</v>
      </c>
    </row>
    <row r="234" spans="1:5">
      <c r="A234" s="59" t="s">
        <v>153</v>
      </c>
      <c r="B234" s="60"/>
      <c r="C234" s="60"/>
      <c r="D234" s="61"/>
    </row>
    <row r="235" spans="1:5">
      <c r="A235" s="59" t="s">
        <v>115</v>
      </c>
      <c r="B235" s="61"/>
      <c r="C235" s="62">
        <v>0</v>
      </c>
      <c r="D235" s="63"/>
    </row>
    <row r="236" spans="1:5" ht="15.75" thickBot="1">
      <c r="A236" s="64" t="s">
        <v>116</v>
      </c>
      <c r="B236" s="65"/>
      <c r="C236" s="41">
        <f>C263</f>
        <v>4</v>
      </c>
      <c r="D236" s="31">
        <v>1</v>
      </c>
    </row>
    <row r="237" spans="1:5">
      <c r="A237" s="32" t="s">
        <v>117</v>
      </c>
      <c r="B237" s="32" t="s">
        <v>118</v>
      </c>
      <c r="C237" s="33" t="s">
        <v>119</v>
      </c>
      <c r="D237" s="34" t="s">
        <v>120</v>
      </c>
      <c r="E237" s="34" t="s">
        <v>121</v>
      </c>
    </row>
    <row r="238" spans="1:5">
      <c r="A238" s="54" t="s">
        <v>122</v>
      </c>
      <c r="B238" s="35" t="s">
        <v>123</v>
      </c>
      <c r="C238" s="36">
        <v>0</v>
      </c>
      <c r="D238" s="37">
        <f>C238/C236*D236</f>
        <v>0</v>
      </c>
      <c r="E238" s="46">
        <f>SUM(D238:D246)</f>
        <v>0</v>
      </c>
    </row>
    <row r="239" spans="1:5">
      <c r="A239" s="55"/>
      <c r="B239" s="35" t="s">
        <v>124</v>
      </c>
      <c r="C239" s="36">
        <v>0</v>
      </c>
      <c r="D239" s="37">
        <f>C239/C236*D236</f>
        <v>0</v>
      </c>
      <c r="E239" s="47"/>
    </row>
    <row r="240" spans="1:5" ht="25.5">
      <c r="A240" s="55"/>
      <c r="B240" s="35" t="s">
        <v>105</v>
      </c>
      <c r="C240" s="36">
        <v>0</v>
      </c>
      <c r="D240" s="37">
        <f>C240/C236*D236</f>
        <v>0</v>
      </c>
      <c r="E240" s="47"/>
    </row>
    <row r="241" spans="1:5">
      <c r="A241" s="55"/>
      <c r="B241" s="35" t="s">
        <v>125</v>
      </c>
      <c r="C241" s="36">
        <v>0</v>
      </c>
      <c r="D241" s="37">
        <f>C241/C236*D236</f>
        <v>0</v>
      </c>
      <c r="E241" s="47"/>
    </row>
    <row r="242" spans="1:5">
      <c r="A242" s="55"/>
      <c r="B242" s="35" t="s">
        <v>126</v>
      </c>
      <c r="C242" s="36">
        <v>0</v>
      </c>
      <c r="D242" s="37">
        <f>C242/C236*D236</f>
        <v>0</v>
      </c>
      <c r="E242" s="47"/>
    </row>
    <row r="243" spans="1:5">
      <c r="A243" s="55"/>
      <c r="B243" s="35" t="s">
        <v>127</v>
      </c>
      <c r="C243" s="36">
        <v>0</v>
      </c>
      <c r="D243" s="37">
        <f>C243/C236*D236</f>
        <v>0</v>
      </c>
      <c r="E243" s="47"/>
    </row>
    <row r="244" spans="1:5">
      <c r="A244" s="55"/>
      <c r="B244" s="35" t="s">
        <v>128</v>
      </c>
      <c r="C244" s="36">
        <v>0</v>
      </c>
      <c r="D244" s="37">
        <f>C244/C236*D236</f>
        <v>0</v>
      </c>
      <c r="E244" s="47"/>
    </row>
    <row r="245" spans="1:5">
      <c r="A245" s="55"/>
      <c r="B245" s="35" t="s">
        <v>129</v>
      </c>
      <c r="C245" s="36">
        <v>0</v>
      </c>
      <c r="D245" s="37">
        <f>C245/C236*D236</f>
        <v>0</v>
      </c>
      <c r="E245" s="47"/>
    </row>
    <row r="246" spans="1:5" ht="25.5">
      <c r="A246" s="56"/>
      <c r="B246" s="35" t="s">
        <v>130</v>
      </c>
      <c r="C246" s="36">
        <v>0</v>
      </c>
      <c r="D246" s="37">
        <f>C246/C236*D236</f>
        <v>0</v>
      </c>
      <c r="E246" s="48"/>
    </row>
    <row r="247" spans="1:5" ht="38.25">
      <c r="A247" s="49" t="s">
        <v>88</v>
      </c>
      <c r="B247" s="35" t="s">
        <v>131</v>
      </c>
      <c r="C247" s="36">
        <v>0</v>
      </c>
      <c r="D247" s="37">
        <f>C247/C236*D236</f>
        <v>0</v>
      </c>
      <c r="E247" s="46">
        <f>SUM(D247:D249)</f>
        <v>0</v>
      </c>
    </row>
    <row r="248" spans="1:5" ht="25.5">
      <c r="A248" s="50"/>
      <c r="B248" s="35" t="s">
        <v>132</v>
      </c>
      <c r="C248" s="36">
        <v>0</v>
      </c>
      <c r="D248" s="37">
        <f>C248/C236*D236</f>
        <v>0</v>
      </c>
      <c r="E248" s="47"/>
    </row>
    <row r="249" spans="1:5">
      <c r="A249" s="51"/>
      <c r="B249" s="35" t="s">
        <v>133</v>
      </c>
      <c r="C249" s="36">
        <v>0</v>
      </c>
      <c r="D249" s="37">
        <f>C249/C236*D236</f>
        <v>0</v>
      </c>
      <c r="E249" s="48"/>
    </row>
    <row r="250" spans="1:5">
      <c r="A250" s="57" t="s">
        <v>64</v>
      </c>
      <c r="B250" s="35" t="s">
        <v>134</v>
      </c>
      <c r="C250" s="36">
        <v>0</v>
      </c>
      <c r="D250" s="37">
        <f>C250/C236*D236</f>
        <v>0</v>
      </c>
      <c r="E250" s="46">
        <f>SUM(D250:D251)</f>
        <v>0.5</v>
      </c>
    </row>
    <row r="251" spans="1:5" ht="25.5">
      <c r="A251" s="58"/>
      <c r="B251" s="35" t="s">
        <v>63</v>
      </c>
      <c r="C251" s="36">
        <v>2</v>
      </c>
      <c r="D251" s="37">
        <f>C251/C236*D236</f>
        <v>0.5</v>
      </c>
      <c r="E251" s="48"/>
    </row>
    <row r="252" spans="1:5">
      <c r="A252" s="43" t="s">
        <v>78</v>
      </c>
      <c r="B252" s="35" t="s">
        <v>98</v>
      </c>
      <c r="C252" s="36">
        <v>1</v>
      </c>
      <c r="D252" s="37">
        <f>C252/C236*D236</f>
        <v>0.25</v>
      </c>
      <c r="E252" s="46">
        <f>SUM(D252:D255)</f>
        <v>0.25</v>
      </c>
    </row>
    <row r="253" spans="1:5" ht="25.5">
      <c r="A253" s="44"/>
      <c r="B253" s="35" t="s">
        <v>135</v>
      </c>
      <c r="C253" s="36">
        <v>0</v>
      </c>
      <c r="D253" s="37">
        <f>C253/C236*D236</f>
        <v>0</v>
      </c>
      <c r="E253" s="47"/>
    </row>
    <row r="254" spans="1:5">
      <c r="A254" s="44"/>
      <c r="B254" s="35" t="s">
        <v>136</v>
      </c>
      <c r="C254" s="36">
        <v>0</v>
      </c>
      <c r="D254" s="37">
        <f>C254/C236*D236</f>
        <v>0</v>
      </c>
      <c r="E254" s="47"/>
    </row>
    <row r="255" spans="1:5" ht="25.5">
      <c r="A255" s="45"/>
      <c r="B255" s="35" t="s">
        <v>77</v>
      </c>
      <c r="C255" s="36">
        <v>0</v>
      </c>
      <c r="D255" s="37">
        <f>C255/C236*D236</f>
        <v>0</v>
      </c>
      <c r="E255" s="48"/>
    </row>
    <row r="256" spans="1:5" ht="28.5">
      <c r="A256" s="40" t="s">
        <v>137</v>
      </c>
      <c r="B256" s="35" t="s">
        <v>138</v>
      </c>
      <c r="C256" s="36">
        <v>0</v>
      </c>
      <c r="D256" s="37">
        <f>C256/C236*D236</f>
        <v>0</v>
      </c>
      <c r="E256" s="39">
        <f>SUM(D256)</f>
        <v>0</v>
      </c>
    </row>
    <row r="257" spans="1:5">
      <c r="A257" s="49" t="s">
        <v>139</v>
      </c>
      <c r="B257" s="35" t="s">
        <v>140</v>
      </c>
      <c r="C257" s="36">
        <v>0</v>
      </c>
      <c r="D257" s="37">
        <f>C257/C236*D236</f>
        <v>0</v>
      </c>
      <c r="E257" s="46">
        <f>SUM(D257:D262)</f>
        <v>0.25</v>
      </c>
    </row>
    <row r="258" spans="1:5">
      <c r="A258" s="50"/>
      <c r="B258" s="35" t="s">
        <v>141</v>
      </c>
      <c r="C258" s="36">
        <v>0</v>
      </c>
      <c r="D258" s="37">
        <f>C258/C236*D236</f>
        <v>0</v>
      </c>
      <c r="E258" s="47"/>
    </row>
    <row r="259" spans="1:5">
      <c r="A259" s="50"/>
      <c r="B259" s="35" t="s">
        <v>142</v>
      </c>
      <c r="C259" s="36">
        <v>0</v>
      </c>
      <c r="D259" s="37">
        <f>C259/C236*D236</f>
        <v>0</v>
      </c>
      <c r="E259" s="47"/>
    </row>
    <row r="260" spans="1:5">
      <c r="A260" s="50"/>
      <c r="B260" s="35" t="s">
        <v>143</v>
      </c>
      <c r="C260" s="36">
        <v>0</v>
      </c>
      <c r="D260" s="37">
        <f>C260/C236*D236</f>
        <v>0</v>
      </c>
      <c r="E260" s="47"/>
    </row>
    <row r="261" spans="1:5">
      <c r="A261" s="50"/>
      <c r="B261" s="35" t="s">
        <v>144</v>
      </c>
      <c r="C261" s="36">
        <v>0</v>
      </c>
      <c r="D261" s="37">
        <f>C261/C236*D236</f>
        <v>0</v>
      </c>
      <c r="E261" s="47"/>
    </row>
    <row r="262" spans="1:5">
      <c r="A262" s="51"/>
      <c r="B262" s="35" t="s">
        <v>145</v>
      </c>
      <c r="C262" s="36">
        <v>1</v>
      </c>
      <c r="D262" s="37">
        <f>C262/C236*D236</f>
        <v>0.25</v>
      </c>
      <c r="E262" s="48"/>
    </row>
    <row r="263" spans="1:5">
      <c r="A263" s="52" t="s">
        <v>146</v>
      </c>
      <c r="B263" s="53"/>
      <c r="C263" s="38">
        <f>SUM(C238:C262)</f>
        <v>4</v>
      </c>
      <c r="D263" s="37">
        <f>+C263/C236*D236</f>
        <v>1</v>
      </c>
      <c r="E263" s="39">
        <f>SUM(E238:E257)</f>
        <v>1</v>
      </c>
    </row>
    <row r="266" spans="1:5">
      <c r="A266" s="59" t="s">
        <v>154</v>
      </c>
      <c r="B266" s="60"/>
      <c r="C266" s="60"/>
      <c r="D266" s="61"/>
    </row>
    <row r="267" spans="1:5">
      <c r="A267" s="59" t="s">
        <v>115</v>
      </c>
      <c r="B267" s="61"/>
      <c r="C267" s="62">
        <v>0</v>
      </c>
      <c r="D267" s="63"/>
    </row>
    <row r="268" spans="1:5" ht="15.75" thickBot="1">
      <c r="A268" s="64" t="s">
        <v>116</v>
      </c>
      <c r="B268" s="65"/>
      <c r="C268" s="41">
        <f>C295</f>
        <v>18</v>
      </c>
      <c r="D268" s="31">
        <v>1</v>
      </c>
    </row>
    <row r="269" spans="1:5">
      <c r="A269" s="32" t="s">
        <v>117</v>
      </c>
      <c r="B269" s="32" t="s">
        <v>118</v>
      </c>
      <c r="C269" s="33" t="s">
        <v>119</v>
      </c>
      <c r="D269" s="34" t="s">
        <v>120</v>
      </c>
      <c r="E269" s="34" t="s">
        <v>121</v>
      </c>
    </row>
    <row r="270" spans="1:5">
      <c r="A270" s="54" t="s">
        <v>122</v>
      </c>
      <c r="B270" s="35" t="s">
        <v>123</v>
      </c>
      <c r="C270" s="36">
        <v>0</v>
      </c>
      <c r="D270" s="37">
        <f>C270/C268*D268</f>
        <v>0</v>
      </c>
      <c r="E270" s="46">
        <f>SUM(D270:D278)</f>
        <v>5.5555555555555552E-2</v>
      </c>
    </row>
    <row r="271" spans="1:5">
      <c r="A271" s="55"/>
      <c r="B271" s="35" t="s">
        <v>124</v>
      </c>
      <c r="C271" s="36">
        <v>0</v>
      </c>
      <c r="D271" s="37">
        <f>C271/C268*D268</f>
        <v>0</v>
      </c>
      <c r="E271" s="47"/>
    </row>
    <row r="272" spans="1:5" ht="25.5">
      <c r="A272" s="55"/>
      <c r="B272" s="35" t="s">
        <v>105</v>
      </c>
      <c r="C272" s="36">
        <v>0</v>
      </c>
      <c r="D272" s="37">
        <f>C272/C268*D268</f>
        <v>0</v>
      </c>
      <c r="E272" s="47"/>
    </row>
    <row r="273" spans="1:5">
      <c r="A273" s="55"/>
      <c r="B273" s="35" t="s">
        <v>125</v>
      </c>
      <c r="C273" s="36">
        <v>0</v>
      </c>
      <c r="D273" s="37">
        <f>C273/C268*D268</f>
        <v>0</v>
      </c>
      <c r="E273" s="47"/>
    </row>
    <row r="274" spans="1:5">
      <c r="A274" s="55"/>
      <c r="B274" s="35" t="s">
        <v>126</v>
      </c>
      <c r="C274" s="36">
        <v>0</v>
      </c>
      <c r="D274" s="37">
        <f>C274/C268*D268</f>
        <v>0</v>
      </c>
      <c r="E274" s="47"/>
    </row>
    <row r="275" spans="1:5">
      <c r="A275" s="55"/>
      <c r="B275" s="35" t="s">
        <v>127</v>
      </c>
      <c r="C275" s="36">
        <v>0</v>
      </c>
      <c r="D275" s="37">
        <f>C275/C268*D268</f>
        <v>0</v>
      </c>
      <c r="E275" s="47"/>
    </row>
    <row r="276" spans="1:5">
      <c r="A276" s="55"/>
      <c r="B276" s="35" t="s">
        <v>128</v>
      </c>
      <c r="C276" s="36">
        <v>0</v>
      </c>
      <c r="D276" s="37">
        <f>C276/C268*D268</f>
        <v>0</v>
      </c>
      <c r="E276" s="47"/>
    </row>
    <row r="277" spans="1:5">
      <c r="A277" s="55"/>
      <c r="B277" s="35" t="s">
        <v>129</v>
      </c>
      <c r="C277" s="36">
        <v>0</v>
      </c>
      <c r="D277" s="37">
        <f>C277/C268*D268</f>
        <v>0</v>
      </c>
      <c r="E277" s="47"/>
    </row>
    <row r="278" spans="1:5" ht="25.5">
      <c r="A278" s="56"/>
      <c r="B278" s="35" t="s">
        <v>130</v>
      </c>
      <c r="C278" s="36">
        <v>1</v>
      </c>
      <c r="D278" s="37">
        <f>C278/C268*D268</f>
        <v>5.5555555555555552E-2</v>
      </c>
      <c r="E278" s="48"/>
    </row>
    <row r="279" spans="1:5" ht="38.25">
      <c r="A279" s="49" t="s">
        <v>88</v>
      </c>
      <c r="B279" s="35" t="s">
        <v>131</v>
      </c>
      <c r="C279" s="36">
        <v>0</v>
      </c>
      <c r="D279" s="37">
        <f>C279/C268*D268</f>
        <v>0</v>
      </c>
      <c r="E279" s="46">
        <f>SUM(D279:D281)</f>
        <v>0.22222222222222221</v>
      </c>
    </row>
    <row r="280" spans="1:5" ht="25.5">
      <c r="A280" s="50"/>
      <c r="B280" s="35" t="s">
        <v>132</v>
      </c>
      <c r="C280" s="36">
        <v>0</v>
      </c>
      <c r="D280" s="37">
        <f>C280/C268*D268</f>
        <v>0</v>
      </c>
      <c r="E280" s="47"/>
    </row>
    <row r="281" spans="1:5">
      <c r="A281" s="51"/>
      <c r="B281" s="35" t="s">
        <v>133</v>
      </c>
      <c r="C281" s="36">
        <v>4</v>
      </c>
      <c r="D281" s="37">
        <f>C281/C268*D268</f>
        <v>0.22222222222222221</v>
      </c>
      <c r="E281" s="48"/>
    </row>
    <row r="282" spans="1:5">
      <c r="A282" s="57" t="s">
        <v>64</v>
      </c>
      <c r="B282" s="35" t="s">
        <v>134</v>
      </c>
      <c r="C282" s="36">
        <v>0</v>
      </c>
      <c r="D282" s="37">
        <f>C282/C268*D268</f>
        <v>0</v>
      </c>
      <c r="E282" s="46">
        <f>SUM(D282:D283)</f>
        <v>0.44444444444444442</v>
      </c>
    </row>
    <row r="283" spans="1:5" ht="25.5">
      <c r="A283" s="58"/>
      <c r="B283" s="35" t="s">
        <v>63</v>
      </c>
      <c r="C283" s="36">
        <v>8</v>
      </c>
      <c r="D283" s="37">
        <f>C283/C268*D268</f>
        <v>0.44444444444444442</v>
      </c>
      <c r="E283" s="48"/>
    </row>
    <row r="284" spans="1:5">
      <c r="A284" s="43" t="s">
        <v>78</v>
      </c>
      <c r="B284" s="35" t="s">
        <v>98</v>
      </c>
      <c r="C284" s="36">
        <v>2</v>
      </c>
      <c r="D284" s="37">
        <f>C284/C268*D268</f>
        <v>0.1111111111111111</v>
      </c>
      <c r="E284" s="46">
        <f>SUM(D284:D287)</f>
        <v>0.1111111111111111</v>
      </c>
    </row>
    <row r="285" spans="1:5" ht="25.5">
      <c r="A285" s="44"/>
      <c r="B285" s="35" t="s">
        <v>135</v>
      </c>
      <c r="C285" s="36">
        <v>0</v>
      </c>
      <c r="D285" s="37">
        <f>C285/C268*D268</f>
        <v>0</v>
      </c>
      <c r="E285" s="47"/>
    </row>
    <row r="286" spans="1:5">
      <c r="A286" s="44"/>
      <c r="B286" s="35" t="s">
        <v>136</v>
      </c>
      <c r="C286" s="36">
        <v>0</v>
      </c>
      <c r="D286" s="37">
        <f>C286/C268*D268</f>
        <v>0</v>
      </c>
      <c r="E286" s="47"/>
    </row>
    <row r="287" spans="1:5" ht="25.5">
      <c r="A287" s="45"/>
      <c r="B287" s="35" t="s">
        <v>77</v>
      </c>
      <c r="C287" s="36">
        <v>0</v>
      </c>
      <c r="D287" s="37">
        <f>C287/C268*D268</f>
        <v>0</v>
      </c>
      <c r="E287" s="48"/>
    </row>
    <row r="288" spans="1:5" ht="28.5">
      <c r="A288" s="40" t="s">
        <v>137</v>
      </c>
      <c r="B288" s="35" t="s">
        <v>138</v>
      </c>
      <c r="C288" s="36">
        <v>0</v>
      </c>
      <c r="D288" s="37">
        <f>C288/C268*D268</f>
        <v>0</v>
      </c>
      <c r="E288" s="39">
        <f>SUM(D288)</f>
        <v>0</v>
      </c>
    </row>
    <row r="289" spans="1:5">
      <c r="A289" s="49" t="s">
        <v>139</v>
      </c>
      <c r="B289" s="35" t="s">
        <v>140</v>
      </c>
      <c r="C289" s="36">
        <v>0</v>
      </c>
      <c r="D289" s="37">
        <f>C289/C268*D268</f>
        <v>0</v>
      </c>
      <c r="E289" s="46">
        <f>SUM(D289:D294)</f>
        <v>0.16666666666666666</v>
      </c>
    </row>
    <row r="290" spans="1:5">
      <c r="A290" s="50"/>
      <c r="B290" s="35" t="s">
        <v>141</v>
      </c>
      <c r="C290" s="36">
        <v>3</v>
      </c>
      <c r="D290" s="37">
        <f>C290/C268*D268</f>
        <v>0.16666666666666666</v>
      </c>
      <c r="E290" s="47"/>
    </row>
    <row r="291" spans="1:5">
      <c r="A291" s="50"/>
      <c r="B291" s="35" t="s">
        <v>142</v>
      </c>
      <c r="C291" s="36">
        <v>0</v>
      </c>
      <c r="D291" s="37">
        <f>C291/C268*D268</f>
        <v>0</v>
      </c>
      <c r="E291" s="47"/>
    </row>
    <row r="292" spans="1:5">
      <c r="A292" s="50"/>
      <c r="B292" s="35" t="s">
        <v>143</v>
      </c>
      <c r="C292" s="36">
        <v>0</v>
      </c>
      <c r="D292" s="37">
        <f>C292/C268*D268</f>
        <v>0</v>
      </c>
      <c r="E292" s="47"/>
    </row>
    <row r="293" spans="1:5">
      <c r="A293" s="50"/>
      <c r="B293" s="35" t="s">
        <v>144</v>
      </c>
      <c r="C293" s="36">
        <v>0</v>
      </c>
      <c r="D293" s="37">
        <f>C293/C268*D268</f>
        <v>0</v>
      </c>
      <c r="E293" s="47"/>
    </row>
    <row r="294" spans="1:5">
      <c r="A294" s="51"/>
      <c r="B294" s="35" t="s">
        <v>145</v>
      </c>
      <c r="C294" s="36">
        <v>0</v>
      </c>
      <c r="D294" s="37">
        <f>C294/C268*D268</f>
        <v>0</v>
      </c>
      <c r="E294" s="48"/>
    </row>
    <row r="295" spans="1:5">
      <c r="A295" s="52" t="s">
        <v>146</v>
      </c>
      <c r="B295" s="53"/>
      <c r="C295" s="38">
        <f>SUM(C270:C294)</f>
        <v>18</v>
      </c>
      <c r="D295" s="37">
        <f>+C295/C268*D268</f>
        <v>1</v>
      </c>
      <c r="E295" s="39">
        <f>SUM(E270:E289)</f>
        <v>0.99999999999999989</v>
      </c>
    </row>
    <row r="298" spans="1:5">
      <c r="A298" s="59" t="s">
        <v>155</v>
      </c>
      <c r="B298" s="60"/>
      <c r="C298" s="60"/>
      <c r="D298" s="61"/>
    </row>
    <row r="299" spans="1:5">
      <c r="A299" s="59" t="s">
        <v>115</v>
      </c>
      <c r="B299" s="61"/>
      <c r="C299" s="62">
        <v>0</v>
      </c>
      <c r="D299" s="63"/>
    </row>
    <row r="300" spans="1:5" ht="15.75" thickBot="1">
      <c r="A300" s="64" t="s">
        <v>116</v>
      </c>
      <c r="B300" s="65"/>
      <c r="C300" s="41">
        <f>C327</f>
        <v>1</v>
      </c>
      <c r="D300" s="31">
        <v>1</v>
      </c>
    </row>
    <row r="301" spans="1:5">
      <c r="A301" s="32" t="s">
        <v>117</v>
      </c>
      <c r="B301" s="32" t="s">
        <v>118</v>
      </c>
      <c r="C301" s="33" t="s">
        <v>119</v>
      </c>
      <c r="D301" s="34" t="s">
        <v>120</v>
      </c>
      <c r="E301" s="34" t="s">
        <v>121</v>
      </c>
    </row>
    <row r="302" spans="1:5">
      <c r="A302" s="54" t="s">
        <v>122</v>
      </c>
      <c r="B302" s="35" t="s">
        <v>123</v>
      </c>
      <c r="C302" s="36">
        <v>0</v>
      </c>
      <c r="D302" s="37">
        <f>C302/C300*D300</f>
        <v>0</v>
      </c>
      <c r="E302" s="46">
        <f>SUM(D302:D310)</f>
        <v>0</v>
      </c>
    </row>
    <row r="303" spans="1:5">
      <c r="A303" s="55"/>
      <c r="B303" s="35" t="s">
        <v>124</v>
      </c>
      <c r="C303" s="36">
        <v>0</v>
      </c>
      <c r="D303" s="37">
        <f>C303/C300*D300</f>
        <v>0</v>
      </c>
      <c r="E303" s="47"/>
    </row>
    <row r="304" spans="1:5" ht="25.5">
      <c r="A304" s="55"/>
      <c r="B304" s="35" t="s">
        <v>105</v>
      </c>
      <c r="C304" s="36">
        <v>0</v>
      </c>
      <c r="D304" s="37">
        <f>C304/C300*D300</f>
        <v>0</v>
      </c>
      <c r="E304" s="47"/>
    </row>
    <row r="305" spans="1:5">
      <c r="A305" s="55"/>
      <c r="B305" s="35" t="s">
        <v>125</v>
      </c>
      <c r="C305" s="36">
        <v>0</v>
      </c>
      <c r="D305" s="37">
        <f>C305/C300*D300</f>
        <v>0</v>
      </c>
      <c r="E305" s="47"/>
    </row>
    <row r="306" spans="1:5">
      <c r="A306" s="55"/>
      <c r="B306" s="35" t="s">
        <v>126</v>
      </c>
      <c r="C306" s="36">
        <v>0</v>
      </c>
      <c r="D306" s="37">
        <f>C306/C300*D300</f>
        <v>0</v>
      </c>
      <c r="E306" s="47"/>
    </row>
    <row r="307" spans="1:5">
      <c r="A307" s="55"/>
      <c r="B307" s="35" t="s">
        <v>127</v>
      </c>
      <c r="C307" s="36">
        <v>0</v>
      </c>
      <c r="D307" s="37">
        <f>C307/C300*D300</f>
        <v>0</v>
      </c>
      <c r="E307" s="47"/>
    </row>
    <row r="308" spans="1:5">
      <c r="A308" s="55"/>
      <c r="B308" s="35" t="s">
        <v>128</v>
      </c>
      <c r="C308" s="36">
        <v>0</v>
      </c>
      <c r="D308" s="37">
        <f>C308/C300*D300</f>
        <v>0</v>
      </c>
      <c r="E308" s="47"/>
    </row>
    <row r="309" spans="1:5">
      <c r="A309" s="55"/>
      <c r="B309" s="35" t="s">
        <v>129</v>
      </c>
      <c r="C309" s="36">
        <v>0</v>
      </c>
      <c r="D309" s="37">
        <f>C309/C300*D300</f>
        <v>0</v>
      </c>
      <c r="E309" s="47"/>
    </row>
    <row r="310" spans="1:5" ht="25.5">
      <c r="A310" s="56"/>
      <c r="B310" s="35" t="s">
        <v>130</v>
      </c>
      <c r="C310" s="36">
        <v>0</v>
      </c>
      <c r="D310" s="37">
        <f>C310/C300*D300</f>
        <v>0</v>
      </c>
      <c r="E310" s="48"/>
    </row>
    <row r="311" spans="1:5" ht="38.25">
      <c r="A311" s="49" t="s">
        <v>88</v>
      </c>
      <c r="B311" s="35" t="s">
        <v>131</v>
      </c>
      <c r="C311" s="36">
        <v>0</v>
      </c>
      <c r="D311" s="37">
        <f>C311/C300*D300</f>
        <v>0</v>
      </c>
      <c r="E311" s="46">
        <f>SUM(D311:D313)</f>
        <v>0</v>
      </c>
    </row>
    <row r="312" spans="1:5" ht="25.5">
      <c r="A312" s="50"/>
      <c r="B312" s="35" t="s">
        <v>132</v>
      </c>
      <c r="C312" s="36">
        <v>0</v>
      </c>
      <c r="D312" s="37">
        <f>C312/C300*D300</f>
        <v>0</v>
      </c>
      <c r="E312" s="47"/>
    </row>
    <row r="313" spans="1:5">
      <c r="A313" s="51"/>
      <c r="B313" s="35" t="s">
        <v>133</v>
      </c>
      <c r="C313" s="36">
        <v>0</v>
      </c>
      <c r="D313" s="37">
        <f>C313/C300*D300</f>
        <v>0</v>
      </c>
      <c r="E313" s="48"/>
    </row>
    <row r="314" spans="1:5">
      <c r="A314" s="57" t="s">
        <v>64</v>
      </c>
      <c r="B314" s="35" t="s">
        <v>134</v>
      </c>
      <c r="C314" s="36">
        <v>0</v>
      </c>
      <c r="D314" s="37">
        <f>C314/C300*D300</f>
        <v>0</v>
      </c>
      <c r="E314" s="46">
        <f>SUM(D314:D315)</f>
        <v>0</v>
      </c>
    </row>
    <row r="315" spans="1:5" ht="25.5">
      <c r="A315" s="58"/>
      <c r="B315" s="35" t="s">
        <v>63</v>
      </c>
      <c r="C315" s="36">
        <v>0</v>
      </c>
      <c r="D315" s="37">
        <f>C315/C300*D300</f>
        <v>0</v>
      </c>
      <c r="E315" s="48"/>
    </row>
    <row r="316" spans="1:5">
      <c r="A316" s="43" t="s">
        <v>78</v>
      </c>
      <c r="B316" s="35" t="s">
        <v>98</v>
      </c>
      <c r="C316" s="36">
        <v>1</v>
      </c>
      <c r="D316" s="37">
        <f>C316/C300*D300</f>
        <v>1</v>
      </c>
      <c r="E316" s="46">
        <f>SUM(D316:D319)</f>
        <v>1</v>
      </c>
    </row>
    <row r="317" spans="1:5" ht="25.5">
      <c r="A317" s="44"/>
      <c r="B317" s="35" t="s">
        <v>135</v>
      </c>
      <c r="C317" s="36">
        <v>0</v>
      </c>
      <c r="D317" s="37">
        <f>C317/C300*D300</f>
        <v>0</v>
      </c>
      <c r="E317" s="47"/>
    </row>
    <row r="318" spans="1:5">
      <c r="A318" s="44"/>
      <c r="B318" s="35" t="s">
        <v>136</v>
      </c>
      <c r="C318" s="36">
        <v>0</v>
      </c>
      <c r="D318" s="37">
        <f>C318/C300*D300</f>
        <v>0</v>
      </c>
      <c r="E318" s="47"/>
    </row>
    <row r="319" spans="1:5" ht="25.5">
      <c r="A319" s="45"/>
      <c r="B319" s="35" t="s">
        <v>77</v>
      </c>
      <c r="C319" s="36">
        <v>0</v>
      </c>
      <c r="D319" s="37">
        <f>C319/C300*D300</f>
        <v>0</v>
      </c>
      <c r="E319" s="48"/>
    </row>
    <row r="320" spans="1:5" ht="28.5">
      <c r="A320" s="40" t="s">
        <v>137</v>
      </c>
      <c r="B320" s="35" t="s">
        <v>138</v>
      </c>
      <c r="C320" s="36">
        <v>0</v>
      </c>
      <c r="D320" s="37">
        <f>C320/C300*D300</f>
        <v>0</v>
      </c>
      <c r="E320" s="39">
        <f>SUM(D320)</f>
        <v>0</v>
      </c>
    </row>
    <row r="321" spans="1:5">
      <c r="A321" s="49" t="s">
        <v>139</v>
      </c>
      <c r="B321" s="35" t="s">
        <v>140</v>
      </c>
      <c r="C321" s="36">
        <v>0</v>
      </c>
      <c r="D321" s="37">
        <f>C321/C300*D300</f>
        <v>0</v>
      </c>
      <c r="E321" s="46">
        <f>SUM(D321:D326)</f>
        <v>0</v>
      </c>
    </row>
    <row r="322" spans="1:5">
      <c r="A322" s="50"/>
      <c r="B322" s="35" t="s">
        <v>141</v>
      </c>
      <c r="C322" s="36">
        <v>0</v>
      </c>
      <c r="D322" s="37">
        <f>C322/C300*D300</f>
        <v>0</v>
      </c>
      <c r="E322" s="47"/>
    </row>
    <row r="323" spans="1:5">
      <c r="A323" s="50"/>
      <c r="B323" s="35" t="s">
        <v>142</v>
      </c>
      <c r="C323" s="36">
        <v>0</v>
      </c>
      <c r="D323" s="37">
        <f>C323/C300*D300</f>
        <v>0</v>
      </c>
      <c r="E323" s="47"/>
    </row>
    <row r="324" spans="1:5">
      <c r="A324" s="50"/>
      <c r="B324" s="35" t="s">
        <v>143</v>
      </c>
      <c r="C324" s="36">
        <v>0</v>
      </c>
      <c r="D324" s="37">
        <f>C324/C300*D300</f>
        <v>0</v>
      </c>
      <c r="E324" s="47"/>
    </row>
    <row r="325" spans="1:5">
      <c r="A325" s="50"/>
      <c r="B325" s="35" t="s">
        <v>144</v>
      </c>
      <c r="C325" s="36">
        <v>0</v>
      </c>
      <c r="D325" s="37">
        <f>C325/C300*D300</f>
        <v>0</v>
      </c>
      <c r="E325" s="47"/>
    </row>
    <row r="326" spans="1:5">
      <c r="A326" s="51"/>
      <c r="B326" s="35" t="s">
        <v>145</v>
      </c>
      <c r="C326" s="36">
        <v>0</v>
      </c>
      <c r="D326" s="37">
        <f>C326/C300*D300</f>
        <v>0</v>
      </c>
      <c r="E326" s="48"/>
    </row>
    <row r="327" spans="1:5">
      <c r="A327" s="52" t="s">
        <v>146</v>
      </c>
      <c r="B327" s="53"/>
      <c r="C327" s="38">
        <f>SUM(C302:C326)</f>
        <v>1</v>
      </c>
      <c r="D327" s="37">
        <f>+C327/C300*D300</f>
        <v>1</v>
      </c>
      <c r="E327" s="39">
        <f>SUM(E302:E321)</f>
        <v>1</v>
      </c>
    </row>
    <row r="330" spans="1:5">
      <c r="A330" s="59" t="s">
        <v>156</v>
      </c>
      <c r="B330" s="60"/>
      <c r="C330" s="60"/>
      <c r="D330" s="61"/>
    </row>
    <row r="331" spans="1:5">
      <c r="A331" s="59" t="s">
        <v>115</v>
      </c>
      <c r="B331" s="61"/>
      <c r="C331" s="62">
        <v>0</v>
      </c>
      <c r="D331" s="63"/>
    </row>
    <row r="332" spans="1:5" ht="15.75" thickBot="1">
      <c r="A332" s="64" t="s">
        <v>116</v>
      </c>
      <c r="B332" s="65"/>
      <c r="C332" s="41">
        <f>C359</f>
        <v>15</v>
      </c>
      <c r="D332" s="31">
        <v>1</v>
      </c>
    </row>
    <row r="333" spans="1:5">
      <c r="A333" s="32" t="s">
        <v>117</v>
      </c>
      <c r="B333" s="32" t="s">
        <v>118</v>
      </c>
      <c r="C333" s="33" t="s">
        <v>119</v>
      </c>
      <c r="D333" s="34" t="s">
        <v>120</v>
      </c>
      <c r="E333" s="34" t="s">
        <v>121</v>
      </c>
    </row>
    <row r="334" spans="1:5">
      <c r="A334" s="54" t="s">
        <v>122</v>
      </c>
      <c r="B334" s="35" t="s">
        <v>123</v>
      </c>
      <c r="C334" s="36">
        <v>0</v>
      </c>
      <c r="D334" s="37">
        <f>C334/C332*D332</f>
        <v>0</v>
      </c>
      <c r="E334" s="46">
        <f>SUM(D334:D342)</f>
        <v>6.6666666666666666E-2</v>
      </c>
    </row>
    <row r="335" spans="1:5">
      <c r="A335" s="55"/>
      <c r="B335" s="35" t="s">
        <v>124</v>
      </c>
      <c r="C335" s="36">
        <v>0</v>
      </c>
      <c r="D335" s="37">
        <f>C335/C332*D332</f>
        <v>0</v>
      </c>
      <c r="E335" s="47"/>
    </row>
    <row r="336" spans="1:5" ht="25.5">
      <c r="A336" s="55"/>
      <c r="B336" s="35" t="s">
        <v>105</v>
      </c>
      <c r="C336" s="36">
        <v>0</v>
      </c>
      <c r="D336" s="37">
        <f>C336/C332*D332</f>
        <v>0</v>
      </c>
      <c r="E336" s="47"/>
    </row>
    <row r="337" spans="1:5">
      <c r="A337" s="55"/>
      <c r="B337" s="35" t="s">
        <v>125</v>
      </c>
      <c r="C337" s="36">
        <v>0</v>
      </c>
      <c r="D337" s="37">
        <f>C337/C332*D332</f>
        <v>0</v>
      </c>
      <c r="E337" s="47"/>
    </row>
    <row r="338" spans="1:5">
      <c r="A338" s="55"/>
      <c r="B338" s="35" t="s">
        <v>126</v>
      </c>
      <c r="C338" s="36">
        <v>0</v>
      </c>
      <c r="D338" s="37">
        <f>C338/C332*D332</f>
        <v>0</v>
      </c>
      <c r="E338" s="47"/>
    </row>
    <row r="339" spans="1:5">
      <c r="A339" s="55"/>
      <c r="B339" s="35" t="s">
        <v>127</v>
      </c>
      <c r="C339" s="36">
        <v>0</v>
      </c>
      <c r="D339" s="37">
        <f>C339/C332*D332</f>
        <v>0</v>
      </c>
      <c r="E339" s="47"/>
    </row>
    <row r="340" spans="1:5">
      <c r="A340" s="55"/>
      <c r="B340" s="35" t="s">
        <v>128</v>
      </c>
      <c r="C340" s="36">
        <v>0</v>
      </c>
      <c r="D340" s="37">
        <f>C340/C332*D332</f>
        <v>0</v>
      </c>
      <c r="E340" s="47"/>
    </row>
    <row r="341" spans="1:5">
      <c r="A341" s="55"/>
      <c r="B341" s="35" t="s">
        <v>129</v>
      </c>
      <c r="C341" s="36">
        <v>1</v>
      </c>
      <c r="D341" s="37">
        <f>C341/C332*D332</f>
        <v>6.6666666666666666E-2</v>
      </c>
      <c r="E341" s="47"/>
    </row>
    <row r="342" spans="1:5" ht="25.5">
      <c r="A342" s="56"/>
      <c r="B342" s="35" t="s">
        <v>130</v>
      </c>
      <c r="C342" s="36">
        <v>0</v>
      </c>
      <c r="D342" s="37">
        <f>C342/C332*D332</f>
        <v>0</v>
      </c>
      <c r="E342" s="48"/>
    </row>
    <row r="343" spans="1:5" ht="38.25">
      <c r="A343" s="49" t="s">
        <v>88</v>
      </c>
      <c r="B343" s="35" t="s">
        <v>131</v>
      </c>
      <c r="C343" s="36">
        <v>0</v>
      </c>
      <c r="D343" s="37">
        <f>C343/C332*D332</f>
        <v>0</v>
      </c>
      <c r="E343" s="46">
        <f>SUM(D343:D345)</f>
        <v>6.6666666666666666E-2</v>
      </c>
    </row>
    <row r="344" spans="1:5" ht="25.5">
      <c r="A344" s="50"/>
      <c r="B344" s="35" t="s">
        <v>132</v>
      </c>
      <c r="C344" s="36">
        <v>0</v>
      </c>
      <c r="D344" s="37">
        <f>C344/C332*D332</f>
        <v>0</v>
      </c>
      <c r="E344" s="47"/>
    </row>
    <row r="345" spans="1:5">
      <c r="A345" s="51"/>
      <c r="B345" s="35" t="s">
        <v>133</v>
      </c>
      <c r="C345" s="36">
        <v>1</v>
      </c>
      <c r="D345" s="37">
        <f>C345/C332*D332</f>
        <v>6.6666666666666666E-2</v>
      </c>
      <c r="E345" s="48"/>
    </row>
    <row r="346" spans="1:5">
      <c r="A346" s="57" t="s">
        <v>64</v>
      </c>
      <c r="B346" s="35" t="s">
        <v>134</v>
      </c>
      <c r="C346" s="36">
        <v>0</v>
      </c>
      <c r="D346" s="37">
        <f>C346/C332*D332</f>
        <v>0</v>
      </c>
      <c r="E346" s="46">
        <f>SUM(D346:D347)</f>
        <v>0.6</v>
      </c>
    </row>
    <row r="347" spans="1:5" ht="25.5">
      <c r="A347" s="58"/>
      <c r="B347" s="35" t="s">
        <v>63</v>
      </c>
      <c r="C347" s="36">
        <v>9</v>
      </c>
      <c r="D347" s="37">
        <f>C347/C332*D332</f>
        <v>0.6</v>
      </c>
      <c r="E347" s="48"/>
    </row>
    <row r="348" spans="1:5">
      <c r="A348" s="43" t="s">
        <v>78</v>
      </c>
      <c r="B348" s="35" t="s">
        <v>98</v>
      </c>
      <c r="C348" s="36">
        <v>2</v>
      </c>
      <c r="D348" s="37">
        <f>C348/C332*D332</f>
        <v>0.13333333333333333</v>
      </c>
      <c r="E348" s="46">
        <f>SUM(D348:D351)</f>
        <v>0.13333333333333333</v>
      </c>
    </row>
    <row r="349" spans="1:5" ht="25.5">
      <c r="A349" s="44"/>
      <c r="B349" s="35" t="s">
        <v>135</v>
      </c>
      <c r="C349" s="36">
        <v>0</v>
      </c>
      <c r="D349" s="37">
        <f>C349/C332*D332</f>
        <v>0</v>
      </c>
      <c r="E349" s="47"/>
    </row>
    <row r="350" spans="1:5">
      <c r="A350" s="44"/>
      <c r="B350" s="35" t="s">
        <v>136</v>
      </c>
      <c r="C350" s="36">
        <v>0</v>
      </c>
      <c r="D350" s="37">
        <f>C350/C332*D332</f>
        <v>0</v>
      </c>
      <c r="E350" s="47"/>
    </row>
    <row r="351" spans="1:5" ht="25.5">
      <c r="A351" s="45"/>
      <c r="B351" s="35" t="s">
        <v>77</v>
      </c>
      <c r="C351" s="36">
        <v>0</v>
      </c>
      <c r="D351" s="37">
        <f>C351/C332*D332</f>
        <v>0</v>
      </c>
      <c r="E351" s="48"/>
    </row>
    <row r="352" spans="1:5" ht="28.5">
      <c r="A352" s="40" t="s">
        <v>137</v>
      </c>
      <c r="B352" s="35" t="s">
        <v>138</v>
      </c>
      <c r="C352" s="36">
        <v>0</v>
      </c>
      <c r="D352" s="37">
        <f>C352/C332*D332</f>
        <v>0</v>
      </c>
      <c r="E352" s="39">
        <f>SUM(D352)</f>
        <v>0</v>
      </c>
    </row>
    <row r="353" spans="1:5">
      <c r="A353" s="49" t="s">
        <v>139</v>
      </c>
      <c r="B353" s="35" t="s">
        <v>140</v>
      </c>
      <c r="C353" s="36">
        <v>0</v>
      </c>
      <c r="D353" s="37">
        <f>C353/C332*D332</f>
        <v>0</v>
      </c>
      <c r="E353" s="46">
        <f>SUM(D353:D358)</f>
        <v>0.13333333333333333</v>
      </c>
    </row>
    <row r="354" spans="1:5">
      <c r="A354" s="50"/>
      <c r="B354" s="35" t="s">
        <v>141</v>
      </c>
      <c r="C354" s="36">
        <v>0</v>
      </c>
      <c r="D354" s="37">
        <f>C354/C332*D332</f>
        <v>0</v>
      </c>
      <c r="E354" s="47"/>
    </row>
    <row r="355" spans="1:5">
      <c r="A355" s="50"/>
      <c r="B355" s="35" t="s">
        <v>142</v>
      </c>
      <c r="C355" s="36">
        <v>0</v>
      </c>
      <c r="D355" s="37">
        <f>C355/C332*D332</f>
        <v>0</v>
      </c>
      <c r="E355" s="47"/>
    </row>
    <row r="356" spans="1:5">
      <c r="A356" s="50"/>
      <c r="B356" s="35" t="s">
        <v>143</v>
      </c>
      <c r="C356" s="36">
        <v>0</v>
      </c>
      <c r="D356" s="37">
        <f>C356/C332*D332</f>
        <v>0</v>
      </c>
      <c r="E356" s="47"/>
    </row>
    <row r="357" spans="1:5">
      <c r="A357" s="50"/>
      <c r="B357" s="35" t="s">
        <v>144</v>
      </c>
      <c r="C357" s="36">
        <v>1</v>
      </c>
      <c r="D357" s="37">
        <f>C357/C332*D332</f>
        <v>6.6666666666666666E-2</v>
      </c>
      <c r="E357" s="47"/>
    </row>
    <row r="358" spans="1:5">
      <c r="A358" s="51"/>
      <c r="B358" s="35" t="s">
        <v>145</v>
      </c>
      <c r="C358" s="36">
        <v>1</v>
      </c>
      <c r="D358" s="37">
        <f>C358/C332*D332</f>
        <v>6.6666666666666666E-2</v>
      </c>
      <c r="E358" s="48"/>
    </row>
    <row r="359" spans="1:5">
      <c r="A359" s="52" t="s">
        <v>146</v>
      </c>
      <c r="B359" s="53"/>
      <c r="C359" s="38">
        <f>SUM(C334:C358)</f>
        <v>15</v>
      </c>
      <c r="D359" s="37">
        <f>+C359/C332*D332</f>
        <v>1</v>
      </c>
      <c r="E359" s="39">
        <f>SUM(E334:E353)</f>
        <v>0.99999999999999989</v>
      </c>
    </row>
  </sheetData>
  <mergeCells count="167">
    <mergeCell ref="A353:A358"/>
    <mergeCell ref="E353:E358"/>
    <mergeCell ref="A359:B359"/>
    <mergeCell ref="A332:B332"/>
    <mergeCell ref="A334:A342"/>
    <mergeCell ref="E334:E342"/>
    <mergeCell ref="A343:A345"/>
    <mergeCell ref="E343:E345"/>
    <mergeCell ref="A346:A347"/>
    <mergeCell ref="E346:E347"/>
    <mergeCell ref="A348:A351"/>
    <mergeCell ref="E348:E351"/>
    <mergeCell ref="A314:A315"/>
    <mergeCell ref="E314:E315"/>
    <mergeCell ref="A316:A319"/>
    <mergeCell ref="E316:E319"/>
    <mergeCell ref="A321:A326"/>
    <mergeCell ref="E321:E326"/>
    <mergeCell ref="A327:B327"/>
    <mergeCell ref="A330:D330"/>
    <mergeCell ref="A331:B331"/>
    <mergeCell ref="C331:D331"/>
    <mergeCell ref="A295:B295"/>
    <mergeCell ref="A298:D298"/>
    <mergeCell ref="A299:B299"/>
    <mergeCell ref="C299:D299"/>
    <mergeCell ref="A300:B300"/>
    <mergeCell ref="A302:A310"/>
    <mergeCell ref="E302:E310"/>
    <mergeCell ref="A311:A313"/>
    <mergeCell ref="E311:E313"/>
    <mergeCell ref="A270:A278"/>
    <mergeCell ref="E270:E278"/>
    <mergeCell ref="A279:A281"/>
    <mergeCell ref="E279:E281"/>
    <mergeCell ref="A282:A283"/>
    <mergeCell ref="E282:E283"/>
    <mergeCell ref="A284:A287"/>
    <mergeCell ref="E284:E287"/>
    <mergeCell ref="A289:A294"/>
    <mergeCell ref="E289:E294"/>
    <mergeCell ref="A252:A255"/>
    <mergeCell ref="E252:E255"/>
    <mergeCell ref="A257:A262"/>
    <mergeCell ref="E257:E262"/>
    <mergeCell ref="A263:B263"/>
    <mergeCell ref="A266:D266"/>
    <mergeCell ref="A267:B267"/>
    <mergeCell ref="C267:D267"/>
    <mergeCell ref="A268:B268"/>
    <mergeCell ref="A234:D234"/>
    <mergeCell ref="A235:B235"/>
    <mergeCell ref="C235:D235"/>
    <mergeCell ref="A236:B236"/>
    <mergeCell ref="A238:A246"/>
    <mergeCell ref="E238:E246"/>
    <mergeCell ref="A247:A249"/>
    <mergeCell ref="E247:E249"/>
    <mergeCell ref="A250:A251"/>
    <mergeCell ref="E250:E251"/>
    <mergeCell ref="A202:D202"/>
    <mergeCell ref="A203:B203"/>
    <mergeCell ref="C203:D203"/>
    <mergeCell ref="A206:A214"/>
    <mergeCell ref="E206:E214"/>
    <mergeCell ref="A215:A217"/>
    <mergeCell ref="E215:E217"/>
    <mergeCell ref="A218:A219"/>
    <mergeCell ref="E218:E219"/>
    <mergeCell ref="A220:A223"/>
    <mergeCell ref="E220:E223"/>
    <mergeCell ref="A225:A230"/>
    <mergeCell ref="E225:E230"/>
    <mergeCell ref="A231:B231"/>
    <mergeCell ref="B3:H3"/>
    <mergeCell ref="B4:H4"/>
    <mergeCell ref="A10:D10"/>
    <mergeCell ref="A11:B11"/>
    <mergeCell ref="C11:D11"/>
    <mergeCell ref="A12:B12"/>
    <mergeCell ref="A204:B204"/>
    <mergeCell ref="A28:A31"/>
    <mergeCell ref="E28:E31"/>
    <mergeCell ref="A33:A38"/>
    <mergeCell ref="E33:E38"/>
    <mergeCell ref="A39:B39"/>
    <mergeCell ref="A42:D42"/>
    <mergeCell ref="A14:A22"/>
    <mergeCell ref="E14:E22"/>
    <mergeCell ref="A23:A25"/>
    <mergeCell ref="E23:E25"/>
    <mergeCell ref="A26:A27"/>
    <mergeCell ref="E26:E27"/>
    <mergeCell ref="A58:A59"/>
    <mergeCell ref="E58:E59"/>
    <mergeCell ref="A60:A63"/>
    <mergeCell ref="E60:E63"/>
    <mergeCell ref="A65:A70"/>
    <mergeCell ref="E65:E70"/>
    <mergeCell ref="A43:B43"/>
    <mergeCell ref="C43:D43"/>
    <mergeCell ref="A44:B44"/>
    <mergeCell ref="A46:A54"/>
    <mergeCell ref="E46:E54"/>
    <mergeCell ref="A55:A57"/>
    <mergeCell ref="E55:E57"/>
    <mergeCell ref="E78:E86"/>
    <mergeCell ref="A87:A89"/>
    <mergeCell ref="E87:E89"/>
    <mergeCell ref="A90:A91"/>
    <mergeCell ref="E90:E91"/>
    <mergeCell ref="A92:A95"/>
    <mergeCell ref="E92:E95"/>
    <mergeCell ref="A71:B71"/>
    <mergeCell ref="A74:D74"/>
    <mergeCell ref="A75:B75"/>
    <mergeCell ref="C75:D75"/>
    <mergeCell ref="A76:B76"/>
    <mergeCell ref="A78:A86"/>
    <mergeCell ref="A108:B108"/>
    <mergeCell ref="A110:A118"/>
    <mergeCell ref="E110:E118"/>
    <mergeCell ref="A119:A121"/>
    <mergeCell ref="E119:E121"/>
    <mergeCell ref="A122:A123"/>
    <mergeCell ref="E122:E123"/>
    <mergeCell ref="A97:A102"/>
    <mergeCell ref="E97:E102"/>
    <mergeCell ref="A103:B103"/>
    <mergeCell ref="A106:D106"/>
    <mergeCell ref="A107:B107"/>
    <mergeCell ref="C107:D107"/>
    <mergeCell ref="A124:A127"/>
    <mergeCell ref="E124:E127"/>
    <mergeCell ref="A129:A134"/>
    <mergeCell ref="E129:E134"/>
    <mergeCell ref="A135:B135"/>
    <mergeCell ref="E142:E150"/>
    <mergeCell ref="E151:E153"/>
    <mergeCell ref="E154:E155"/>
    <mergeCell ref="E156:E159"/>
    <mergeCell ref="E161:E166"/>
    <mergeCell ref="A167:B167"/>
    <mergeCell ref="A170:D170"/>
    <mergeCell ref="A171:B171"/>
    <mergeCell ref="C171:D171"/>
    <mergeCell ref="A172:B172"/>
    <mergeCell ref="A138:D138"/>
    <mergeCell ref="A139:B139"/>
    <mergeCell ref="C139:D139"/>
    <mergeCell ref="A140:B140"/>
    <mergeCell ref="A142:A150"/>
    <mergeCell ref="A151:A153"/>
    <mergeCell ref="A154:A155"/>
    <mergeCell ref="A156:A159"/>
    <mergeCell ref="A161:A166"/>
    <mergeCell ref="A188:A191"/>
    <mergeCell ref="E188:E191"/>
    <mergeCell ref="A193:A198"/>
    <mergeCell ref="E193:E198"/>
    <mergeCell ref="A199:B199"/>
    <mergeCell ref="A174:A182"/>
    <mergeCell ref="E174:E182"/>
    <mergeCell ref="A183:A185"/>
    <mergeCell ref="E183:E185"/>
    <mergeCell ref="A186:A187"/>
    <mergeCell ref="E186:E187"/>
  </mergeCells>
  <dataValidations disablePrompts="1" count="5">
    <dataValidation type="list" allowBlank="1" showInputMessage="1" showErrorMessage="1" sqref="B1" xr:uid="{00000000-0002-0000-0100-000000000000}">
      <formula1>$AA$8:$AA$31</formula1>
    </dataValidation>
    <dataValidation type="list" allowBlank="1" showInputMessage="1" showErrorMessage="1" sqref="B2" xr:uid="{00000000-0002-0000-0100-000001000000}">
      <formula1>$AE$8:$AE$16</formula1>
    </dataValidation>
    <dataValidation type="list" allowBlank="1" showInputMessage="1" showErrorMessage="1" sqref="B5" xr:uid="{00000000-0002-0000-0100-000002000000}">
      <formula1>$AB$8:$AB$25</formula1>
    </dataValidation>
    <dataValidation type="list" allowBlank="1" showInputMessage="1" showErrorMessage="1" sqref="B6" xr:uid="{00000000-0002-0000-0100-000003000000}">
      <formula1>$AC$8:$AC$11</formula1>
    </dataValidation>
    <dataValidation type="list" allowBlank="1" showInputMessage="1" showErrorMessage="1" sqref="B7" xr:uid="{00000000-0002-0000-0100-000004000000}">
      <formula1>$AD$8:$AD$10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Andrés Montoya</cp:lastModifiedBy>
  <cp:revision/>
  <dcterms:created xsi:type="dcterms:W3CDTF">2015-06-05T18:19:34Z</dcterms:created>
  <dcterms:modified xsi:type="dcterms:W3CDTF">2018-05-15T05:46:32Z</dcterms:modified>
  <cp:category/>
  <cp:contentStatus/>
</cp:coreProperties>
</file>